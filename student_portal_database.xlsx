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</sheets>
  <calcPr calcId="144525"/>
</workbook>
</file>

<file path=xl/calcChain.xml><?xml version="1.0" encoding="utf-8"?>
<calcChain xmlns="http://schemas.openxmlformats.org/spreadsheetml/2006/main"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<sst xmlns="http://schemas.openxmlformats.org/spreadsheetml/2006/main" count="652" uniqueCount="212">
  <si>
    <t>الرقم الجامعي</t>
  </si>
  <si>
    <t>رمز المادة</t>
  </si>
  <si>
    <t>اسم المادة</t>
  </si>
  <si>
    <t>الوحدات</t>
  </si>
  <si>
    <t>المحاضر</t>
  </si>
  <si>
    <t>الفصل الدراسي</t>
  </si>
  <si>
    <t>الدرجة</t>
  </si>
  <si>
    <t>التقدير</t>
  </si>
  <si>
    <t>الحالة</t>
  </si>
  <si>
    <t>CS100</t>
  </si>
  <si>
    <t>مقدمة في الحاسب</t>
  </si>
  <si>
    <t>خريف 2024</t>
  </si>
  <si>
    <t>جيد جداً</t>
  </si>
  <si>
    <t>اجتاز</t>
  </si>
  <si>
    <t>MATH101</t>
  </si>
  <si>
    <t>رياضيات 1</t>
  </si>
  <si>
    <t>جيد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</si>
  <si>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</si>
  <si>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</si>
  <si>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</si>
  <si>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</si>
  <si>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</si>
  <si>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</si>
  <si>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</si>
  <si>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</si>
  <si>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</si>
  <si>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</si>
  <si>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</si>
  <si>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</si>
  <si>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</si>
  <si>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</si>
  <si>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</si>
  <si>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</si>
  <si>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</si>
  <si>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</si>
  <si>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</si>
  <si>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</si>
  <si>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</si>
  <si>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</si>
  <si>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</si>
  <si>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</si>
  <si>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</si>
  <si>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</si>
  <si>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</si>
  <si>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</si>
  <si>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</si>
  <si>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</si>
  <si>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</si>
  <si>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</si>
  <si>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</si>
  <si>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</si>
  <si>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</si>
  <si>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</si>
  <si>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</si>
  <si>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</si>
  <si>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</si>
  <si>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</si>
  <si>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</si>
  <si>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مودة سالم علي احميد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</si>
  <si>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</si>
  <si>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</si>
  <si>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</si>
  <si>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</si>
  <si>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</si>
  <si>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</si>
  <si>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</si>
  <si>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</si>
  <si>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</si>
  <si>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</si>
  <si>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</si>
  <si>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</si>
  <si>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</si>
  <si>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</si>
  <si>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</si>
  <si>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</si>
  <si>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</si>
  <si>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</si>
  <si>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</si>
  <si>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</si>
  <si>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</si>
  <si>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</si>
  <si>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</si>
  <si>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</si>
  <si>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</si>
  <si>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</si>
  <si>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</si>
  <si>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</si>
  <si>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</si>
  <si>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</si>
  <si>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</si>
  <si>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</si>
  <si>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</si>
  <si>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</si>
  <si>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</si>
  <si>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</si>
  <si>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</si>
  <si>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</si>
  <si>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</si>
  <si>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</si>
  <si>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</si>
  <si>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</si>
  <si>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</si>
  <si>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</si>
  <si>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</si>
  <si>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</si>
  <si>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</si>
  <si>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</si>
  <si>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</si>
  <si>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</si>
  <si>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</si>
  <si>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</si>
  <si>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</si>
  <si>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</si>
  <si>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</si>
  <si>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</si>
  <si>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</si>
  <si>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</si>
  <si>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</si>
  <si>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</si>
  <si>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هبة محمد سعد فرج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</si>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</sst>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tabSelected="1" workbookViewId="0">
      <selection activeCell="B3" sqref="B3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132</v>
      </c>
    </row>
    <row r="2" spans="1:6" x14ac:dyDescent="0.35">
      <c r="A2">
        <v>4800</v>
      </c>
      <c r="B2"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v>4808</v>
      </c>
      <c r="B3"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v>4808</v>
      </c>
      <c r="B4"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v>4808</v>
      </c>
      <c r="B5"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v>4808</v>
      </c>
      <c r="B6"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v>4808</v>
      </c>
      <c r="B7"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v>4811</v>
      </c>
      <c r="B8"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v>4811</v>
      </c>
      <c r="B9"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v>4811</v>
      </c>
      <c r="B10"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v>4811</v>
      </c>
      <c r="B11"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v>5163</v>
      </c>
      <c r="B12"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v>5163</v>
      </c>
      <c r="B13"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v>5163</v>
      </c>
      <c r="B14">
        <v>2703</v>
      </c>
      <c r="C14" s="4" t="str">
        <f>VLOOKUP(B14,الجدول!A:B,2,FALSE)</f>
        <v>Research Methodology</v>
      </c>
      <c r="D14">
        <f>VLOOKUP(B14,الجدول!A:E,5,FALSE)</f>
        <v>3</v>
      </c>
      <c r="E14" t="str">
        <f>VLOOKUP(B14,الجدول!A:D,4,FALSE)</f>
        <v>أ. فرج الجارح</v>
      </c>
      <c r="F14" t="str">
        <f>VLOOKUP(B14,الجدول!A:D,3,FALSE)</f>
        <v>الخميس 11:00</v>
      </c>
    </row>
    <row r="15" spans="1:6" x14ac:dyDescent="0.35">
      <c r="A15">
        <v>5163</v>
      </c>
      <c r="B15"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v>5163</v>
      </c>
      <c r="B16"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v>5183</v>
      </c>
      <c r="B17"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v>5183</v>
      </c>
      <c r="B18"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v>5183</v>
      </c>
      <c r="B19"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v>5183</v>
      </c>
      <c r="B20"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v>5183</v>
      </c>
      <c r="B21"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v>5219</v>
      </c>
      <c r="B22"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v>5219</v>
      </c>
      <c r="B23"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v>5219</v>
      </c>
      <c r="B24"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v>5219</v>
      </c>
      <c r="B25"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v>5219</v>
      </c>
      <c r="B26"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v>5219</v>
      </c>
      <c r="B27"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v>5249</v>
      </c>
      <c r="B28"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v>5249</v>
      </c>
      <c r="B29"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v>5249</v>
      </c>
      <c r="B30"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v>5249</v>
      </c>
      <c r="B31"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v>5249</v>
      </c>
      <c r="B32"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v>5251</v>
      </c>
      <c r="B33"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v>5251</v>
      </c>
      <c r="B34"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v>5251</v>
      </c>
      <c r="B35"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v>5251</v>
      </c>
      <c r="B36"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v>5251</v>
      </c>
      <c r="B37"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v>5263</v>
      </c>
      <c r="B38">
        <v>2401</v>
      </c>
      <c r="C38" s="4" t="str">
        <f>VLOOKUP(B38,الجدول!A:B,2,FALSE)</f>
        <v>Literary Readings A</v>
      </c>
      <c r="D38">
        <f>VLOOKUP(B38,الجدول!A:E,5,FALSE)</f>
        <v>3</v>
      </c>
      <c r="E38" t="str">
        <f>VLOOKUP(B38,الجدول!A:D,4,FALSE)</f>
        <v>أ.  فرج مالك</v>
      </c>
      <c r="F38" t="str">
        <f>VLOOKUP(B38,الجدول!A:D,3,FALSE)</f>
        <v>السبت 01:00</v>
      </c>
    </row>
    <row r="39" spans="1:6" x14ac:dyDescent="0.35">
      <c r="A39">
        <v>5263</v>
      </c>
      <c r="B39">
        <v>2704</v>
      </c>
      <c r="C39" s="4" t="str">
        <f>VLOOKUP(B39,الجدول!A:B,2,FALSE)</f>
        <v>Semantics</v>
      </c>
      <c r="D39">
        <f>VLOOKUP(B39,الجدول!A:E,5,FALSE)</f>
        <v>3</v>
      </c>
      <c r="E39" t="str">
        <f>VLOOKUP(B39,الجدول!A:D,4,FALSE)</f>
        <v>أ. الشريف الملاح</v>
      </c>
      <c r="F39" t="str">
        <f>VLOOKUP(B39,الجدول!A:D,3,FALSE)</f>
        <v>الأحد 11:00</v>
      </c>
    </row>
    <row r="40" spans="1:6" x14ac:dyDescent="0.35">
      <c r="A40">
        <v>5263</v>
      </c>
      <c r="B40">
        <v>2811</v>
      </c>
      <c r="C40" s="4" t="str">
        <f>VLOOKUP(B40,الجدول!A:B,2,FALSE)</f>
        <v>Translation Theories and Practice</v>
      </c>
      <c r="D40">
        <f>VLOOKUP(B40,الجدول!A:E,5,FALSE)</f>
        <v>3</v>
      </c>
      <c r="E40" t="str">
        <f>VLOOKUP(B40,الجدول!A:D,4,FALSE)</f>
        <v>أ. علي اغنيوه</v>
      </c>
      <c r="F40" t="str">
        <f>VLOOKUP(B40,الجدول!A:D,3,FALSE)</f>
        <v>السبت 11:00</v>
      </c>
    </row>
    <row r="41" spans="1:6" x14ac:dyDescent="0.35">
      <c r="A41">
        <v>5263</v>
      </c>
      <c r="B41">
        <v>2813</v>
      </c>
      <c r="C41" s="4" t="str">
        <f>VLOOKUP(B41,الجدول!A:B,2,FALSE)</f>
        <v>Language Testing</v>
      </c>
      <c r="D41">
        <f>VLOOKUP(B41,الجدول!A:E,5,FALSE)</f>
        <v>4</v>
      </c>
      <c r="E41" t="str">
        <f>VLOOKUP(B41,الجدول!A:D,4,FALSE)</f>
        <v>أ. فرج الجارح</v>
      </c>
      <c r="F41" t="str">
        <f>VLOOKUP(B41,الجدول!A:D,3,FALSE)</f>
        <v>الإربعاء 11:00</v>
      </c>
    </row>
    <row r="42" spans="1:6" x14ac:dyDescent="0.35">
      <c r="A42">
        <v>5263</v>
      </c>
      <c r="B42">
        <v>2804</v>
      </c>
      <c r="C42" s="4" t="str">
        <f>VLOOKUP(B42,الجدول!A:B,2,FALSE)</f>
        <v>English Grammar D</v>
      </c>
      <c r="D42">
        <f>VLOOKUP(B42,الجدول!A:E,5,FALSE)</f>
        <v>4</v>
      </c>
      <c r="E42" t="str">
        <f>VLOOKUP(B42,الجدول!A:D,4,FALSE)</f>
        <v>د. عبدالسلام الرقاص</v>
      </c>
      <c r="F42" t="str">
        <f>VLOOKUP(B42,الجدول!A:D,3,FALSE)</f>
        <v>الإربعاء 01:00</v>
      </c>
    </row>
    <row r="43" spans="1:6" x14ac:dyDescent="0.35">
      <c r="A43">
        <v>5271</v>
      </c>
      <c r="B43">
        <v>2502</v>
      </c>
      <c r="C43" s="4" t="str">
        <f>VLOOKUP(B43,الجدول!A:B,2,FALSE)</f>
        <v>Literary Readings B</v>
      </c>
      <c r="D43">
        <f>VLOOKUP(B43,الجدول!A:E,5,FALSE)</f>
        <v>3</v>
      </c>
      <c r="E43">
        <f>VLOOKUP(B43,الجدول!A:D,4,FALSE)</f>
        <v>0</v>
      </c>
      <c r="F43" t="str">
        <f>VLOOKUP(B43,الجدول!A:D,3,FALSE)</f>
        <v/>
      </c>
    </row>
    <row r="44" spans="1:6" x14ac:dyDescent="0.35">
      <c r="A44">
        <v>5277</v>
      </c>
      <c r="B44"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v>5460</v>
      </c>
      <c r="B45">
        <v>2401</v>
      </c>
      <c r="C45" s="4" t="str">
        <f>VLOOKUP(B45,الجدول!A:B,2,FALSE)</f>
        <v>Literary Readings A</v>
      </c>
      <c r="D45">
        <f>VLOOKUP(B45,الجدول!A:E,5,FALSE)</f>
        <v>3</v>
      </c>
      <c r="E45" t="str">
        <f>VLOOKUP(B45,الجدول!A:D,4,FALSE)</f>
        <v>أ.  فرج مالك</v>
      </c>
      <c r="F45" t="str">
        <f>VLOOKUP(B45,الجدول!A:D,3,FALSE)</f>
        <v>السبت 01:00</v>
      </c>
    </row>
    <row r="46" spans="1:6" x14ac:dyDescent="0.35">
      <c r="A46">
        <v>5460</v>
      </c>
      <c r="B46">
        <v>2811</v>
      </c>
      <c r="C46" s="4" t="str">
        <f>VLOOKUP(B46,الجدول!A:B,2,FALSE)</f>
        <v>Translation Theories and Practice</v>
      </c>
      <c r="D46">
        <f>VLOOKUP(B46,الجدول!A:E,5,FALSE)</f>
        <v>3</v>
      </c>
      <c r="E46" t="str">
        <f>VLOOKUP(B46,الجدول!A:D,4,FALSE)</f>
        <v>أ. علي اغنيوه</v>
      </c>
      <c r="F46" t="str">
        <f>VLOOKUP(B46,الجدول!A:D,3,FALSE)</f>
        <v>السبت 11:00</v>
      </c>
    </row>
    <row r="47" spans="1:6" x14ac:dyDescent="0.35">
      <c r="A47">
        <v>5460</v>
      </c>
      <c r="B47">
        <v>2614</v>
      </c>
      <c r="C47" s="4" t="str">
        <f>VLOOKUP(B47,الجدول!A:B,2,FALSE)</f>
        <v>Lexicography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09:00</v>
      </c>
    </row>
    <row r="48" spans="1:6" x14ac:dyDescent="0.35">
      <c r="A48">
        <v>5460</v>
      </c>
      <c r="B48">
        <v>2704</v>
      </c>
      <c r="C48" s="4" t="str">
        <f>VLOOKUP(B48,الجدول!A:B,2,FALSE)</f>
        <v>Semantics</v>
      </c>
      <c r="D48">
        <f>VLOOKUP(B48,الجدول!A:E,5,FALSE)</f>
        <v>3</v>
      </c>
      <c r="E48" t="str">
        <f>VLOOKUP(B48,الجدول!A:D,4,FALSE)</f>
        <v>أ. الشريف الملاح</v>
      </c>
      <c r="F48" t="str">
        <f>VLOOKUP(B48,الجدول!A:D,3,FALSE)</f>
        <v>الأحد 11:00</v>
      </c>
    </row>
    <row r="49" spans="1:6" x14ac:dyDescent="0.35">
      <c r="A49">
        <v>5460</v>
      </c>
      <c r="B49">
        <v>2713</v>
      </c>
      <c r="C49" s="4" t="str">
        <f>VLOOKUP(B49,الجدول!A:B,2,FALSE)</f>
        <v>Teaching Language Skills</v>
      </c>
      <c r="D49">
        <f>VLOOKUP(B49,الجدول!A:E,5,FALSE)</f>
        <v>3</v>
      </c>
      <c r="E49" t="str">
        <f>VLOOKUP(B49,الجدول!A:D,4,FALSE)</f>
        <v>أ. فرج الجارح</v>
      </c>
      <c r="F49" t="str">
        <f>VLOOKUP(B49,الجدول!A:D,3,FALSE)</f>
        <v>الخميس 09:00</v>
      </c>
    </row>
    <row r="50" spans="1:6" x14ac:dyDescent="0.35">
      <c r="A50">
        <v>5542</v>
      </c>
      <c r="B50">
        <v>2401</v>
      </c>
      <c r="C50" s="4" t="str">
        <f>VLOOKUP(B50,الجدول!A:B,2,FALSE)</f>
        <v>Literary Readings A</v>
      </c>
      <c r="D50">
        <f>VLOOKUP(B50,الجدول!A:E,5,FALSE)</f>
        <v>3</v>
      </c>
      <c r="E50" t="str">
        <f>VLOOKUP(B50,الجدول!A:D,4,FALSE)</f>
        <v>أ.  فرج مالك</v>
      </c>
      <c r="F50" t="str">
        <f>VLOOKUP(B50,الجدول!A:D,3,FALSE)</f>
        <v>السبت 01:00</v>
      </c>
    </row>
    <row r="51" spans="1:6" x14ac:dyDescent="0.35">
      <c r="A51">
        <v>5542</v>
      </c>
      <c r="B51">
        <v>2502</v>
      </c>
      <c r="C51" s="4" t="str">
        <f>VLOOKUP(B51,الجدول!A:B,2,FALSE)</f>
        <v>Literary Readings B</v>
      </c>
      <c r="D51">
        <f>VLOOKUP(B51,الجدول!A:E,5,FALSE)</f>
        <v>3</v>
      </c>
      <c r="E51">
        <f>VLOOKUP(B51,الجدول!A:D,4,FALSE)</f>
        <v>0</v>
      </c>
      <c r="F51" t="str">
        <f>VLOOKUP(B51,الجدول!A:D,3,FALSE)</f>
        <v/>
      </c>
    </row>
    <row r="52" spans="1:6" x14ac:dyDescent="0.35">
      <c r="A52">
        <v>5542</v>
      </c>
      <c r="B52">
        <v>2713</v>
      </c>
      <c r="C52" s="4" t="str">
        <f>VLOOKUP(B52,الجدول!A:B,2,FALSE)</f>
        <v>Teaching Language Skills</v>
      </c>
      <c r="D52">
        <f>VLOOKUP(B52,الجدول!A:E,5,FALSE)</f>
        <v>3</v>
      </c>
      <c r="E52" t="str">
        <f>VLOOKUP(B52,الجدول!A:D,4,FALSE)</f>
        <v>أ. فرج الجارح</v>
      </c>
      <c r="F52" t="str">
        <f>VLOOKUP(B52,الجدول!A:D,3,FALSE)</f>
        <v>الخميس 09:00</v>
      </c>
    </row>
    <row r="53" spans="1:6" x14ac:dyDescent="0.35">
      <c r="A53">
        <v>5542</v>
      </c>
      <c r="B53">
        <v>2812</v>
      </c>
      <c r="C53" s="4" t="str">
        <f>VLOOKUP(B53,الجدول!A:B,2,FALSE)</f>
        <v>Research Project</v>
      </c>
      <c r="D53">
        <f>VLOOKUP(B53,الجدول!A:E,5,FALSE)</f>
        <v>4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v>5542</v>
      </c>
      <c r="B54">
        <v>2813</v>
      </c>
      <c r="C54" s="4" t="str">
        <f>VLOOKUP(B54,الجدول!A:B,2,FALSE)</f>
        <v>Language Testing</v>
      </c>
      <c r="D54">
        <f>VLOOKUP(B54,الجدول!A:E,5,FALSE)</f>
        <v>4</v>
      </c>
      <c r="E54" t="str">
        <f>VLOOKUP(B54,الجدول!A:D,4,FALSE)</f>
        <v>أ. فرج الجارح</v>
      </c>
      <c r="F54" t="str">
        <f>VLOOKUP(B54,الجدول!A:D,3,FALSE)</f>
        <v>الإربعاء 11:00</v>
      </c>
    </row>
    <row r="55" spans="1:6" x14ac:dyDescent="0.35">
      <c r="A55">
        <v>5557</v>
      </c>
      <c r="B55">
        <v>2401</v>
      </c>
      <c r="C55" s="4" t="str">
        <f>VLOOKUP(B55,الجدول!A:B,2,FALSE)</f>
        <v>Literary Readings A</v>
      </c>
      <c r="D55">
        <f>VLOOKUP(B55,الجدول!A:E,5,FALSE)</f>
        <v>3</v>
      </c>
      <c r="E55" t="str">
        <f>VLOOKUP(B55,الجدول!A:D,4,FALSE)</f>
        <v>أ.  فرج مالك</v>
      </c>
      <c r="F55" t="str">
        <f>VLOOKUP(B55,الجدول!A:D,3,FALSE)</f>
        <v>السبت 01:00</v>
      </c>
    </row>
    <row r="56" spans="1:6" x14ac:dyDescent="0.35">
      <c r="A56">
        <v>5557</v>
      </c>
      <c r="B56">
        <v>2815</v>
      </c>
      <c r="C56" s="4" t="str">
        <f>VLOOKUP(B56,الجدول!A:B,2,FALSE)</f>
        <v>CALL</v>
      </c>
      <c r="D56">
        <f>VLOOKUP(B56,الجدول!A:E,5,FALSE)</f>
        <v>3</v>
      </c>
      <c r="E56" t="str">
        <f>VLOOKUP(B56,الجدول!A:D,4,FALSE)</f>
        <v>أ. فرج الجارح</v>
      </c>
      <c r="F56" t="str">
        <f>VLOOKUP(B56,الجدول!A:D,3,FALSE)</f>
        <v>الإربعاء 09:00</v>
      </c>
    </row>
    <row r="57" spans="1:6" x14ac:dyDescent="0.35">
      <c r="A57">
        <v>5557</v>
      </c>
      <c r="B57">
        <v>2703</v>
      </c>
      <c r="C57" s="4" t="str">
        <f>VLOOKUP(B57,الجدول!A:B,2,FALSE)</f>
        <v>Research Methodology</v>
      </c>
      <c r="D57">
        <f>VLOOKUP(B57,الجدول!A:E,5,FALSE)</f>
        <v>3</v>
      </c>
      <c r="E57" t="str">
        <f>VLOOKUP(B57,الجدول!A:D,4,FALSE)</f>
        <v>أ. فرج الجارح</v>
      </c>
      <c r="F57" t="str">
        <f>VLOOKUP(B57,الجدول!A:D,3,FALSE)</f>
        <v>الخميس 11:00</v>
      </c>
    </row>
    <row r="58" spans="1:6" x14ac:dyDescent="0.35">
      <c r="A58">
        <v>5557</v>
      </c>
      <c r="B58">
        <v>2813</v>
      </c>
      <c r="C58" s="4" t="str">
        <f>VLOOKUP(B58,الجدول!A:B,2,FALSE)</f>
        <v>Language Testing</v>
      </c>
      <c r="D58">
        <f>VLOOKUP(B58,الجدول!A:E,5,FALSE)</f>
        <v>4</v>
      </c>
      <c r="E58" t="str">
        <f>VLOOKUP(B58,الجدول!A:D,4,FALSE)</f>
        <v>أ. فرج الجارح</v>
      </c>
      <c r="F58" t="str">
        <f>VLOOKUP(B58,الجدول!A:D,3,FALSE)</f>
        <v>الإربعاء 11:00</v>
      </c>
    </row>
    <row r="59" spans="1:6" x14ac:dyDescent="0.35">
      <c r="A59">
        <v>5557</v>
      </c>
      <c r="B59">
        <v>2804</v>
      </c>
      <c r="C59" s="4" t="str">
        <f>VLOOKUP(B59,الجدول!A:B,2,FALSE)</f>
        <v>English Grammar D</v>
      </c>
      <c r="D59">
        <f>VLOOKUP(B59,الجدول!A:E,5,FALSE)</f>
        <v>4</v>
      </c>
      <c r="E59" t="str">
        <f>VLOOKUP(B59,الجدول!A:D,4,FALSE)</f>
        <v>د. عبدالسلام الرقاص</v>
      </c>
      <c r="F59" t="str">
        <f>VLOOKUP(B59,الجدول!A:D,3,FALSE)</f>
        <v>الإربعاء 01:00</v>
      </c>
    </row>
    <row r="60" spans="1:6" x14ac:dyDescent="0.35">
      <c r="A60">
        <v>5561</v>
      </c>
      <c r="B60">
        <v>2401</v>
      </c>
      <c r="C60" s="4" t="str">
        <f>VLOOKUP(B60,الجدول!A:B,2,FALSE)</f>
        <v>Literary Readings A</v>
      </c>
      <c r="D60">
        <f>VLOOKUP(B60,الجدول!A:E,5,FALSE)</f>
        <v>3</v>
      </c>
      <c r="E60" t="str">
        <f>VLOOKUP(B60,الجدول!A:D,4,FALSE)</f>
        <v>أ.  فرج مالك</v>
      </c>
      <c r="F60" t="str">
        <f>VLOOKUP(B60,الجدول!A:D,3,FALSE)</f>
        <v>السبت 01:00</v>
      </c>
    </row>
    <row r="61" spans="1:6" x14ac:dyDescent="0.35">
      <c r="A61">
        <v>5561</v>
      </c>
      <c r="B61">
        <v>2513</v>
      </c>
      <c r="C61" s="4" t="str">
        <f>VLOOKUP(B61,الجدول!A:B,2,FALSE)</f>
        <v>Language Acquisition</v>
      </c>
      <c r="D61">
        <f>VLOOKUP(B61,الجدول!A:E,5,FALSE)</f>
        <v>4</v>
      </c>
      <c r="E61" t="str">
        <f>VLOOKUP(B61,الجدول!A:D,4,FALSE)</f>
        <v>أ. آية ثابت</v>
      </c>
      <c r="F61" t="str">
        <f>VLOOKUP(B61,الجدول!A:D,3,FALSE)</f>
        <v>الخميس 11:00</v>
      </c>
    </row>
    <row r="62" spans="1:6" x14ac:dyDescent="0.35">
      <c r="A62">
        <v>5561</v>
      </c>
      <c r="B62">
        <v>2515</v>
      </c>
      <c r="C62" s="4" t="str">
        <f>VLOOKUP(B62,الجدول!A:B,2,FALSE)</f>
        <v>Psycho. Linguistics</v>
      </c>
      <c r="D62">
        <f>VLOOKUP(B62,الجدول!A:E,5,FALSE)</f>
        <v>3</v>
      </c>
      <c r="E62" t="str">
        <f>VLOOKUP(B62,الجدول!A:D,4,FALSE)</f>
        <v>أ. خديجة العشيبي</v>
      </c>
      <c r="F62" t="str">
        <f>VLOOKUP(B62,الجدول!A:D,3,FALSE)</f>
        <v>السبت 11:00</v>
      </c>
    </row>
    <row r="63" spans="1:6" x14ac:dyDescent="0.35">
      <c r="A63">
        <v>5561</v>
      </c>
      <c r="B63">
        <v>2614</v>
      </c>
      <c r="C63" s="4" t="str">
        <f>VLOOKUP(B63,الجدول!A:B,2,FALSE)</f>
        <v>Lexicography</v>
      </c>
      <c r="D63">
        <f>VLOOKUP(B63,الجدول!A:E,5,FALSE)</f>
        <v>3</v>
      </c>
      <c r="E63" t="str">
        <f>VLOOKUP(B63,الجدول!A:D,4,FALSE)</f>
        <v>أ.  فرج مالك</v>
      </c>
      <c r="F63" t="str">
        <f>VLOOKUP(B63,الجدول!A:D,3,FALSE)</f>
        <v>السبت 09:00</v>
      </c>
    </row>
    <row r="64" spans="1:6" x14ac:dyDescent="0.35">
      <c r="A64">
        <v>5561</v>
      </c>
      <c r="B64">
        <v>2713</v>
      </c>
      <c r="C64" s="4" t="str">
        <f>VLOOKUP(B64,الجدول!A:B,2,FALSE)</f>
        <v>Teaching Language Skills</v>
      </c>
      <c r="D64">
        <f>VLOOKUP(B64,الجدول!A:E,5,FALSE)</f>
        <v>3</v>
      </c>
      <c r="E64" t="str">
        <f>VLOOKUP(B64,الجدول!A:D,4,FALSE)</f>
        <v>أ. فرج الجارح</v>
      </c>
      <c r="F64" t="str">
        <f>VLOOKUP(B64,الجدول!A:D,3,FALSE)</f>
        <v>الخميس 09:00</v>
      </c>
    </row>
    <row r="65" spans="1:6" x14ac:dyDescent="0.35">
      <c r="A65">
        <v>5566</v>
      </c>
      <c r="B65">
        <v>2513</v>
      </c>
      <c r="C65" s="4" t="str">
        <f>VLOOKUP(B65,الجدول!A:B,2,FALSE)</f>
        <v>Language Acquisition</v>
      </c>
      <c r="D65">
        <f>VLOOKUP(B65,الجدول!A:E,5,FALSE)</f>
        <v>4</v>
      </c>
      <c r="E65" t="str">
        <f>VLOOKUP(B65,الجدول!A:D,4,FALSE)</f>
        <v>أ. آية ثابت</v>
      </c>
      <c r="F65" t="str">
        <f>VLOOKUP(B65,الجدول!A:D,3,FALSE)</f>
        <v>الخميس 11:00</v>
      </c>
    </row>
    <row r="66" spans="1:6" x14ac:dyDescent="0.35">
      <c r="A66">
        <v>5566</v>
      </c>
      <c r="B66">
        <v>2514</v>
      </c>
      <c r="C66" s="4" t="str">
        <f>VLOOKUP(B66,الجدول!A:B,2,FALSE)</f>
        <v>English / Arabic Translation</v>
      </c>
      <c r="D66">
        <f>VLOOKUP(B66,الجدول!A:E,5,FALSE)</f>
        <v>3</v>
      </c>
      <c r="E66" t="str">
        <f>VLOOKUP(B66,الجدول!A:D,4,FALSE)</f>
        <v>أ. علي اغنيوه</v>
      </c>
      <c r="F66" t="str">
        <f>VLOOKUP(B66,الجدول!A:D,3,FALSE)</f>
        <v>السبت 09:00</v>
      </c>
    </row>
    <row r="67" spans="1:6" x14ac:dyDescent="0.35">
      <c r="A67">
        <v>5566</v>
      </c>
      <c r="B67">
        <v>2502</v>
      </c>
      <c r="C67" s="4" t="str">
        <f>VLOOKUP(B67,الجدول!A:B,2,FALSE)</f>
        <v>Literary Readings B</v>
      </c>
      <c r="D67">
        <f>VLOOKUP(B67,الجدول!A:E,5,FALSE)</f>
        <v>3</v>
      </c>
      <c r="E67">
        <f>VLOOKUP(B67,الجدول!A:D,4,FALSE)</f>
        <v>0</v>
      </c>
      <c r="F67" t="str">
        <f>VLOOKUP(B67,الجدول!A:D,3,FALSE)</f>
        <v/>
      </c>
    </row>
    <row r="68" spans="1:6" x14ac:dyDescent="0.35">
      <c r="A68">
        <v>5566</v>
      </c>
      <c r="B68">
        <v>2815</v>
      </c>
      <c r="C68" s="4" t="str">
        <f>VLOOKUP(B68,الجدول!A:B,2,FALSE)</f>
        <v>CALL</v>
      </c>
      <c r="D68">
        <f>VLOOKUP(B68,الجدول!A:E,5,FALSE)</f>
        <v>3</v>
      </c>
      <c r="E68" t="str">
        <f>VLOOKUP(B68,الجدول!A:D,4,FALSE)</f>
        <v>أ. فرج الجارح</v>
      </c>
      <c r="F68" t="str">
        <f>VLOOKUP(B68,الجدول!A:D,3,FALSE)</f>
        <v>الإربعاء 09:00</v>
      </c>
    </row>
    <row r="69" spans="1:6" x14ac:dyDescent="0.35">
      <c r="A69">
        <v>5566</v>
      </c>
      <c r="B69">
        <v>2704</v>
      </c>
      <c r="C69" s="4" t="str">
        <f>VLOOKUP(B69,الجدول!A:B,2,FALSE)</f>
        <v>Semantics</v>
      </c>
      <c r="D69">
        <f>VLOOKUP(B69,الجدول!A:E,5,FALSE)</f>
        <v>3</v>
      </c>
      <c r="E69" t="str">
        <f>VLOOKUP(B69,الجدول!A:D,4,FALSE)</f>
        <v>أ. الشريف الملاح</v>
      </c>
      <c r="F69" t="str">
        <f>VLOOKUP(B69,الجدول!A:D,3,FALSE)</f>
        <v>الأحد 11:00</v>
      </c>
    </row>
    <row r="70" spans="1:6" x14ac:dyDescent="0.35">
      <c r="A70">
        <v>5570</v>
      </c>
      <c r="B70"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v>5576</v>
      </c>
      <c r="B71">
        <v>2813</v>
      </c>
      <c r="C71" s="4" t="str">
        <f>VLOOKUP(B71,الجدول!A:B,2,FALSE)</f>
        <v>Language Testing</v>
      </c>
      <c r="D71">
        <f>VLOOKUP(B71,الجدول!A:E,5,FALSE)</f>
        <v>4</v>
      </c>
      <c r="E71" t="str">
        <f>VLOOKUP(B71,الجدول!A:D,4,FALSE)</f>
        <v>أ. فرج الجارح</v>
      </c>
      <c r="F71" t="str">
        <f>VLOOKUP(B71,الجدول!A:D,3,FALSE)</f>
        <v>الإربعاء 11:00</v>
      </c>
    </row>
    <row r="72" spans="1:6" x14ac:dyDescent="0.35">
      <c r="A72">
        <v>5589</v>
      </c>
      <c r="B72">
        <v>2804</v>
      </c>
      <c r="C72" s="4" t="str">
        <f>VLOOKUP(B72,الجدول!A:B,2,FALSE)</f>
        <v>English Grammar D</v>
      </c>
      <c r="D72">
        <f>VLOOKUP(B72,الجدول!A:E,5,FALSE)</f>
        <v>4</v>
      </c>
      <c r="E72" t="str">
        <f>VLOOKUP(B72,الجدول!A:D,4,FALSE)</f>
        <v>د. عبدالسلام الرقاص</v>
      </c>
      <c r="F72" t="str">
        <f>VLOOKUP(B72,الجدول!A:D,3,FALSE)</f>
        <v>الإربعاء 01:00</v>
      </c>
    </row>
    <row r="73" spans="1:6" x14ac:dyDescent="0.35">
      <c r="A73">
        <v>5651</v>
      </c>
      <c r="B73">
        <v>2815</v>
      </c>
      <c r="C73" s="4" t="str">
        <f>VLOOKUP(B73,الجدول!A:B,2,FALSE)</f>
        <v>CALL</v>
      </c>
      <c r="D73">
        <f>VLOOKUP(B73,الجدول!A:E,5,FALSE)</f>
        <v>3</v>
      </c>
      <c r="E73" t="str">
        <f>VLOOKUP(B73,الجدول!A:D,4,FALSE)</f>
        <v>أ. فرج الجارح</v>
      </c>
      <c r="F73" t="str">
        <f>VLOOKUP(B73,الجدول!A:D,3,FALSE)</f>
        <v>الإربعاء 09:00</v>
      </c>
    </row>
    <row r="74" spans="1:6" x14ac:dyDescent="0.35">
      <c r="A74">
        <v>5651</v>
      </c>
      <c r="B74">
        <v>2614</v>
      </c>
      <c r="C74" s="4" t="str">
        <f>VLOOKUP(B74,الجدول!A:B,2,FALSE)</f>
        <v>Lexicography</v>
      </c>
      <c r="D74">
        <f>VLOOKUP(B74,الجدول!A:E,5,FALSE)</f>
        <v>3</v>
      </c>
      <c r="E74" t="str">
        <f>VLOOKUP(B74,الجدول!A:D,4,FALSE)</f>
        <v>أ.  فرج مالك</v>
      </c>
      <c r="F74" t="str">
        <f>VLOOKUP(B74,الجدول!A:D,3,FALSE)</f>
        <v>السبت 09:00</v>
      </c>
    </row>
    <row r="75" spans="1:6" x14ac:dyDescent="0.35">
      <c r="A75">
        <v>5651</v>
      </c>
      <c r="B75">
        <v>2713</v>
      </c>
      <c r="C75" s="4" t="str">
        <f>VLOOKUP(B75,الجدول!A:B,2,FALSE)</f>
        <v>Teaching Language Skills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الخميس 09:00</v>
      </c>
    </row>
    <row r="76" spans="1:6" x14ac:dyDescent="0.35">
      <c r="A76">
        <v>5651</v>
      </c>
      <c r="B76">
        <v>2813</v>
      </c>
      <c r="C76" s="4" t="str">
        <f>VLOOKUP(B76,الجدول!A:B,2,FALSE)</f>
        <v>Language Testing</v>
      </c>
      <c r="D76">
        <f>VLOOKUP(B76,الجدول!A:E,5,FALSE)</f>
        <v>4</v>
      </c>
      <c r="E76" t="str">
        <f>VLOOKUP(B76,الجدول!A:D,4,FALSE)</f>
        <v>أ. فرج الجارح</v>
      </c>
      <c r="F76" t="str">
        <f>VLOOKUP(B76,الجدول!A:D,3,FALSE)</f>
        <v>الإربعاء 11:00</v>
      </c>
    </row>
    <row r="77" spans="1:6" x14ac:dyDescent="0.35">
      <c r="A77">
        <v>5651</v>
      </c>
      <c r="B77">
        <v>2703</v>
      </c>
      <c r="C77" s="4" t="str">
        <f>VLOOKUP(B77,الجدول!A:B,2,FALSE)</f>
        <v>Research Methodology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11:00</v>
      </c>
    </row>
    <row r="78" spans="1:6" x14ac:dyDescent="0.35">
      <c r="A78">
        <v>5653</v>
      </c>
      <c r="B78">
        <v>2815</v>
      </c>
      <c r="C78" s="4" t="str">
        <f>VLOOKUP(B78,الجدول!A:B,2,FALSE)</f>
        <v>CALL</v>
      </c>
      <c r="D78">
        <f>VLOOKUP(B78,الجدول!A:E,5,FALSE)</f>
        <v>3</v>
      </c>
      <c r="E78" t="str">
        <f>VLOOKUP(B78,الجدول!A:D,4,FALSE)</f>
        <v>أ. فرج الجارح</v>
      </c>
      <c r="F78" t="str">
        <f>VLOOKUP(B78,الجدول!A:D,3,FALSE)</f>
        <v>الإربعاء 09:00</v>
      </c>
    </row>
    <row r="79" spans="1:6" x14ac:dyDescent="0.35">
      <c r="A79">
        <v>5653</v>
      </c>
      <c r="B79">
        <v>2603</v>
      </c>
      <c r="C79" s="4" t="str">
        <f>VLOOKUP(B79,الجدول!A:B,2,FALSE)</f>
        <v>Introduction to ESP</v>
      </c>
      <c r="D79">
        <f>VLOOKUP(B79,الجدول!A:E,5,FALSE)</f>
        <v>3</v>
      </c>
      <c r="E79" t="str">
        <f>VLOOKUP(B79,الجدول!A:D,4,FALSE)</f>
        <v>أ. خديجة العشيبي</v>
      </c>
      <c r="F79" t="str">
        <f>VLOOKUP(B79,الجدول!A:D,3,FALSE)</f>
        <v>السبت 01:00</v>
      </c>
    </row>
    <row r="80" spans="1:6" x14ac:dyDescent="0.35">
      <c r="A80">
        <v>5653</v>
      </c>
      <c r="B80">
        <v>2703</v>
      </c>
      <c r="C80" s="4" t="str">
        <f>VLOOKUP(B80,الجدول!A:B,2,FALSE)</f>
        <v>Research Methodology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الخميس 11:00</v>
      </c>
    </row>
    <row r="81" spans="1:6" x14ac:dyDescent="0.35">
      <c r="A81">
        <v>5653</v>
      </c>
      <c r="B81">
        <v>2813</v>
      </c>
      <c r="C81" s="4" t="str">
        <f>VLOOKUP(B81,الجدول!A:B,2,FALSE)</f>
        <v>Language Testing</v>
      </c>
      <c r="D81">
        <f>VLOOKUP(B81,الجدول!A:E,5,FALSE)</f>
        <v>4</v>
      </c>
      <c r="E81" t="str">
        <f>VLOOKUP(B81,الجدول!A:D,4,FALSE)</f>
        <v>أ. فرج الجارح</v>
      </c>
      <c r="F81" t="str">
        <f>VLOOKUP(B81,الجدول!A:D,3,FALSE)</f>
        <v>الإربعاء 11:00</v>
      </c>
    </row>
    <row r="82" spans="1:6" x14ac:dyDescent="0.35">
      <c r="A82">
        <v>5653</v>
      </c>
      <c r="B82">
        <v>2804</v>
      </c>
      <c r="C82" s="4" t="str">
        <f>VLOOKUP(B82,الجدول!A:B,2,FALSE)</f>
        <v>English Grammar D</v>
      </c>
      <c r="D82">
        <f>VLOOKUP(B82,الجدول!A:E,5,FALSE)</f>
        <v>4</v>
      </c>
      <c r="E82" t="str">
        <f>VLOOKUP(B82,الجدول!A:D,4,FALSE)</f>
        <v>د. عبدالسلام الرقاص</v>
      </c>
      <c r="F82" t="str">
        <f>VLOOKUP(B82,الجدول!A:D,3,FALSE)</f>
        <v>الإربعاء 01:00</v>
      </c>
    </row>
    <row r="83" spans="1:6" x14ac:dyDescent="0.35">
      <c r="A83">
        <v>5654</v>
      </c>
      <c r="B83">
        <v>2504</v>
      </c>
      <c r="C83" s="4" t="str">
        <f>VLOOKUP(B83,الجدول!A:B,2,FALSE)</f>
        <v>English Grammar C</v>
      </c>
      <c r="D83">
        <f>VLOOKUP(B83,الجدول!A:E,5,FALSE)</f>
        <v>3</v>
      </c>
      <c r="E83" t="str">
        <f>VLOOKUP(B83,الجدول!A:D,4,FALSE)</f>
        <v>أ. أسامة سعد</v>
      </c>
      <c r="F83" t="str">
        <f>VLOOKUP(B83,الجدول!A:D,3,FALSE)</f>
        <v>الإثنين 09:00</v>
      </c>
    </row>
    <row r="84" spans="1:6" x14ac:dyDescent="0.35">
      <c r="A84">
        <v>5654</v>
      </c>
      <c r="B84">
        <v>2515</v>
      </c>
      <c r="C84" s="4" t="str">
        <f>VLOOKUP(B84,الجدول!A:B,2,FALSE)</f>
        <v>Psycho. Linguistics</v>
      </c>
      <c r="D84">
        <f>VLOOKUP(B84,الجدول!A:E,5,FALSE)</f>
        <v>3</v>
      </c>
      <c r="E84" t="str">
        <f>VLOOKUP(B84,الجدول!A:D,4,FALSE)</f>
        <v>أ. خديجة العشيبي</v>
      </c>
      <c r="F84" t="str">
        <f>VLOOKUP(B84,الجدول!A:D,3,FALSE)</f>
        <v>السبت 11:00</v>
      </c>
    </row>
    <row r="85" spans="1:6" x14ac:dyDescent="0.35">
      <c r="A85">
        <v>5654</v>
      </c>
      <c r="B85">
        <v>2603</v>
      </c>
      <c r="C85" s="4" t="str">
        <f>VLOOKUP(B85,الجدول!A:B,2,FALSE)</f>
        <v>Introduction to ESP</v>
      </c>
      <c r="D85">
        <f>VLOOKUP(B85,الجدول!A:E,5,FALSE)</f>
        <v>3</v>
      </c>
      <c r="E85" t="str">
        <f>VLOOKUP(B85,الجدول!A:D,4,FALSE)</f>
        <v>أ. خديجة العشيبي</v>
      </c>
      <c r="F85" t="str">
        <f>VLOOKUP(B85,الجدول!A:D,3,FALSE)</f>
        <v>السبت 01:00</v>
      </c>
    </row>
    <row r="86" spans="1:6" x14ac:dyDescent="0.35">
      <c r="A86">
        <v>5654</v>
      </c>
      <c r="B86">
        <v>2614</v>
      </c>
      <c r="C86" s="4" t="str">
        <f>VLOOKUP(B86,الجدول!A:B,2,FALSE)</f>
        <v>Lexicography</v>
      </c>
      <c r="D86">
        <f>VLOOKUP(B86,الجدول!A:E,5,FALSE)</f>
        <v>3</v>
      </c>
      <c r="E86" t="str">
        <f>VLOOKUP(B86,الجدول!A:D,4,FALSE)</f>
        <v>أ.  فرج مالك</v>
      </c>
      <c r="F86" t="str">
        <f>VLOOKUP(B86,الجدول!A:D,3,FALSE)</f>
        <v>السبت 09:00</v>
      </c>
    </row>
    <row r="87" spans="1:6" x14ac:dyDescent="0.35">
      <c r="A87">
        <v>5654</v>
      </c>
      <c r="B87">
        <v>2713</v>
      </c>
      <c r="C87" s="4" t="str">
        <f>VLOOKUP(B87,الجدول!A:B,2,FALSE)</f>
        <v>Teaching Language Skills</v>
      </c>
      <c r="D87">
        <f>VLOOKUP(B87,الجدول!A:E,5,FALSE)</f>
        <v>3</v>
      </c>
      <c r="E87" t="str">
        <f>VLOOKUP(B87,الجدول!A:D,4,FALSE)</f>
        <v>أ. فرج الجارح</v>
      </c>
      <c r="F87" t="str">
        <f>VLOOKUP(B87,الجدول!A:D,3,FALSE)</f>
        <v>الخميس 09:00</v>
      </c>
    </row>
    <row r="88" spans="1:6" x14ac:dyDescent="0.35">
      <c r="A88">
        <v>5705</v>
      </c>
      <c r="B88">
        <v>2713</v>
      </c>
      <c r="C88" s="4" t="str">
        <f>VLOOKUP(B88,الجدول!A:B,2,FALSE)</f>
        <v>Teaching Language Skills</v>
      </c>
      <c r="D88">
        <f>VLOOKUP(B88,الجدول!A:E,5,FALSE)</f>
        <v>3</v>
      </c>
      <c r="E88" t="str">
        <f>VLOOKUP(B88,الجدول!A:D,4,FALSE)</f>
        <v>أ. فرج الجارح</v>
      </c>
      <c r="F88" t="str">
        <f>VLOOKUP(B88,الجدول!A:D,3,FALSE)</f>
        <v>الخميس 09:00</v>
      </c>
    </row>
    <row r="89" spans="1:6" x14ac:dyDescent="0.35">
      <c r="A89">
        <v>5705</v>
      </c>
      <c r="B89">
        <v>2812</v>
      </c>
      <c r="C89" s="4" t="str">
        <f>VLOOKUP(B89,الجدول!A:B,2,FALSE)</f>
        <v>Research Project</v>
      </c>
      <c r="D89">
        <f>VLOOKUP(B89,الجدول!A:E,5,FALSE)</f>
        <v>4</v>
      </c>
      <c r="E89">
        <f>VLOOKUP(B89,الجدول!A:D,4,FALSE)</f>
        <v>0</v>
      </c>
      <c r="F89" t="str">
        <f>VLOOKUP(B89,الجدول!A:D,3,FALSE)</f>
        <v/>
      </c>
    </row>
    <row r="90" spans="1:6" x14ac:dyDescent="0.35">
      <c r="A90">
        <v>5705</v>
      </c>
      <c r="B90">
        <v>2813</v>
      </c>
      <c r="C90" s="4" t="str">
        <f>VLOOKUP(B90,الجدول!A:B,2,FALSE)</f>
        <v>Language Testing</v>
      </c>
      <c r="D90">
        <f>VLOOKUP(B90,الجدول!A:E,5,FALSE)</f>
        <v>4</v>
      </c>
      <c r="E90" t="str">
        <f>VLOOKUP(B90,الجدول!A:D,4,FALSE)</f>
        <v>أ. فرج الجارح</v>
      </c>
      <c r="F90" t="str">
        <f>VLOOKUP(B90,الجدول!A:D,3,FALSE)</f>
        <v>الإربعاء 11:00</v>
      </c>
    </row>
    <row r="91" spans="1:6" x14ac:dyDescent="0.35">
      <c r="A91">
        <v>5727</v>
      </c>
      <c r="B91">
        <v>2603</v>
      </c>
      <c r="C91" s="4" t="str">
        <f>VLOOKUP(B91,الجدول!A:B,2,FALSE)</f>
        <v>Introduction to ESP</v>
      </c>
      <c r="D91">
        <f>VLOOKUP(B91,الجدول!A:E,5,FALSE)</f>
        <v>3</v>
      </c>
      <c r="E91" t="str">
        <f>VLOOKUP(B91,الجدول!A:D,4,FALSE)</f>
        <v>أ. خديجة العشيبي</v>
      </c>
      <c r="F91" t="str">
        <f>VLOOKUP(B91,الجدول!A:D,3,FALSE)</f>
        <v>السبت 01:00</v>
      </c>
    </row>
    <row r="92" spans="1:6" x14ac:dyDescent="0.35">
      <c r="A92">
        <v>5727</v>
      </c>
      <c r="B92">
        <v>2614</v>
      </c>
      <c r="C92" s="4" t="str">
        <f>VLOOKUP(B92,الجدول!A:B,2,FALSE)</f>
        <v>Lexicography</v>
      </c>
      <c r="D92">
        <f>VLOOKUP(B92,الجدول!A:E,5,FALSE)</f>
        <v>3</v>
      </c>
      <c r="E92" t="str">
        <f>VLOOKUP(B92,الجدول!A:D,4,FALSE)</f>
        <v>أ.  فرج مالك</v>
      </c>
      <c r="F92" t="str">
        <f>VLOOKUP(B92,الجدول!A:D,3,FALSE)</f>
        <v>السبت 09:00</v>
      </c>
    </row>
    <row r="93" spans="1:6" x14ac:dyDescent="0.35">
      <c r="A93">
        <v>5727</v>
      </c>
      <c r="B93">
        <v>2813</v>
      </c>
      <c r="C93" s="4" t="str">
        <f>VLOOKUP(B93,الجدول!A:B,2,FALSE)</f>
        <v>Language Testing</v>
      </c>
      <c r="D93">
        <f>VLOOKUP(B93,الجدول!A:E,5,FALSE)</f>
        <v>4</v>
      </c>
      <c r="E93" t="str">
        <f>VLOOKUP(B93,الجدول!A:D,4,FALSE)</f>
        <v>أ. فرج الجارح</v>
      </c>
      <c r="F93" t="str">
        <f>VLOOKUP(B93,الجدول!A:D,3,FALSE)</f>
        <v>الإربعاء 11:00</v>
      </c>
    </row>
    <row r="94" spans="1:6" x14ac:dyDescent="0.35">
      <c r="A94">
        <v>5727</v>
      </c>
      <c r="B94">
        <v>2703</v>
      </c>
      <c r="C94" s="4" t="str">
        <f>VLOOKUP(B94,الجدول!A:B,2,FALSE)</f>
        <v>Research Methodology</v>
      </c>
      <c r="D94">
        <f>VLOOKUP(B94,الجدول!A:E,5,FALSE)</f>
        <v>3</v>
      </c>
      <c r="E94" t="str">
        <f>VLOOKUP(B94,الجدول!A:D,4,FALSE)</f>
        <v>أ. فرج الجارح</v>
      </c>
      <c r="F94" t="str">
        <f>VLOOKUP(B94,الجدول!A:D,3,FALSE)</f>
        <v>الخميس 11:00</v>
      </c>
    </row>
    <row r="95" spans="1:6" x14ac:dyDescent="0.35">
      <c r="A95">
        <v>5727</v>
      </c>
      <c r="B95">
        <v>2704</v>
      </c>
      <c r="C95" s="4" t="str">
        <f>VLOOKUP(B95,الجدول!A:B,2,FALSE)</f>
        <v>Semantics</v>
      </c>
      <c r="D95">
        <f>VLOOKUP(B95,الجدول!A:E,5,FALSE)</f>
        <v>3</v>
      </c>
      <c r="E95" t="str">
        <f>VLOOKUP(B95,الجدول!A:D,4,FALSE)</f>
        <v>أ. الشريف الملاح</v>
      </c>
      <c r="F95" t="str">
        <f>VLOOKUP(B95,الجدول!A:D,3,FALSE)</f>
        <v>الأحد 11:00</v>
      </c>
    </row>
    <row r="96" spans="1:6" x14ac:dyDescent="0.35">
      <c r="A96">
        <v>5822</v>
      </c>
      <c r="B96">
        <v>2401</v>
      </c>
      <c r="C96" s="4" t="str">
        <f>VLOOKUP(B96,الجدول!A:B,2,FALSE)</f>
        <v>Literary Readings A</v>
      </c>
      <c r="D96">
        <f>VLOOKUP(B96,الجدول!A:E,5,FALSE)</f>
        <v>3</v>
      </c>
      <c r="E96" t="str">
        <f>VLOOKUP(B96,الجدول!A:D,4,FALSE)</f>
        <v>أ.  فرج مالك</v>
      </c>
      <c r="F96" t="str">
        <f>VLOOKUP(B96,الجدول!A:D,3,FALSE)</f>
        <v>السبت 01:00</v>
      </c>
    </row>
    <row r="97" spans="1:6" x14ac:dyDescent="0.35">
      <c r="A97">
        <v>5822</v>
      </c>
      <c r="B97">
        <v>2713</v>
      </c>
      <c r="C97" s="4" t="str">
        <f>VLOOKUP(B97,الجدول!A:B,2,FALSE)</f>
        <v>Teaching Language Skills</v>
      </c>
      <c r="D97">
        <f>VLOOKUP(B97,الجدول!A:E,5,FALSE)</f>
        <v>3</v>
      </c>
      <c r="E97" t="str">
        <f>VLOOKUP(B97,الجدول!A:D,4,FALSE)</f>
        <v>أ. فرج الجارح</v>
      </c>
      <c r="F97" t="str">
        <f>VLOOKUP(B97,الجدول!A:D,3,FALSE)</f>
        <v>الخميس 09:00</v>
      </c>
    </row>
    <row r="98" spans="1:6" x14ac:dyDescent="0.35">
      <c r="A98">
        <v>5822</v>
      </c>
      <c r="B98">
        <v>2514</v>
      </c>
      <c r="C98" s="4" t="str">
        <f>VLOOKUP(B98,الجدول!A:B,2,FALSE)</f>
        <v>English / Arabic Translation</v>
      </c>
      <c r="D98">
        <f>VLOOKUP(B98,الجدول!A:E,5,FALSE)</f>
        <v>3</v>
      </c>
      <c r="E98" t="str">
        <f>VLOOKUP(B98,الجدول!A:D,4,FALSE)</f>
        <v>أ. علي اغنيوه</v>
      </c>
      <c r="F98" t="str">
        <f>VLOOKUP(B98,الجدول!A:D,3,FALSE)</f>
        <v>السبت 09:00</v>
      </c>
    </row>
    <row r="99" spans="1:6" x14ac:dyDescent="0.35">
      <c r="A99">
        <v>5822</v>
      </c>
      <c r="B99">
        <v>2804</v>
      </c>
      <c r="C99" s="4" t="str">
        <f>VLOOKUP(B99,الجدول!A:B,2,FALSE)</f>
        <v>English Grammar D</v>
      </c>
      <c r="D99">
        <f>VLOOKUP(B99,الجدول!A:E,5,FALSE)</f>
        <v>4</v>
      </c>
      <c r="E99" t="str">
        <f>VLOOKUP(B99,الجدول!A:D,4,FALSE)</f>
        <v>د. عبدالسلام الرقاص</v>
      </c>
      <c r="F99" t="str">
        <f>VLOOKUP(B99,الجدول!A:D,3,FALSE)</f>
        <v>الإربعاء 01:00</v>
      </c>
    </row>
    <row r="100" spans="1:6" x14ac:dyDescent="0.35">
      <c r="A100">
        <v>5822</v>
      </c>
      <c r="B100">
        <v>2815</v>
      </c>
      <c r="C100" s="4" t="str">
        <f>VLOOKUP(B100,الجدول!A:B,2,FALSE)</f>
        <v>CALL</v>
      </c>
      <c r="D100">
        <f>VLOOKUP(B100,الجدول!A:E,5,FALSE)</f>
        <v>3</v>
      </c>
      <c r="E100" t="str">
        <f>VLOOKUP(B100,الجدول!A:D,4,FALSE)</f>
        <v>أ. فرج الجارح</v>
      </c>
      <c r="F100" t="str">
        <f>VLOOKUP(B100,الجدول!A:D,3,FALSE)</f>
        <v>الإربعاء 09:00</v>
      </c>
    </row>
    <row r="101" spans="1:6" x14ac:dyDescent="0.35">
      <c r="A101">
        <v>5828</v>
      </c>
      <c r="B101">
        <v>2614</v>
      </c>
      <c r="C101" s="4" t="str">
        <f>VLOOKUP(B101,الجدول!A:B,2,FALSE)</f>
        <v>Lexicography</v>
      </c>
      <c r="D101">
        <f>VLOOKUP(B101,الجدول!A:E,5,FALSE)</f>
        <v>3</v>
      </c>
      <c r="E101" t="str">
        <f>VLOOKUP(B101,الجدول!A:D,4,FALSE)</f>
        <v>أ.  فرج مالك</v>
      </c>
      <c r="F101" t="str">
        <f>VLOOKUP(B101,الجدول!A:D,3,FALSE)</f>
        <v>السبت 09:00</v>
      </c>
    </row>
    <row r="102" spans="1:6" x14ac:dyDescent="0.35">
      <c r="A102">
        <v>5828</v>
      </c>
      <c r="B102">
        <v>2815</v>
      </c>
      <c r="C102" s="4" t="str">
        <f>VLOOKUP(B102,الجدول!A:B,2,FALSE)</f>
        <v>CALL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الإربعاء 09:00</v>
      </c>
    </row>
    <row r="103" spans="1:6" x14ac:dyDescent="0.35">
      <c r="A103">
        <v>5828</v>
      </c>
      <c r="B103">
        <v>2813</v>
      </c>
      <c r="C103" s="4" t="str">
        <f>VLOOKUP(B103,الجدول!A:B,2,FALSE)</f>
        <v>Language Testing</v>
      </c>
      <c r="D103">
        <f>VLOOKUP(B103,الجدول!A:E,5,FALSE)</f>
        <v>4</v>
      </c>
      <c r="E103" t="str">
        <f>VLOOKUP(B103,الجدول!A:D,4,FALSE)</f>
        <v>أ. فرج الجارح</v>
      </c>
      <c r="F103" t="str">
        <f>VLOOKUP(B103,الجدول!A:D,3,FALSE)</f>
        <v>الإربعاء 11:00</v>
      </c>
    </row>
    <row r="104" spans="1:6" x14ac:dyDescent="0.35">
      <c r="A104">
        <v>5828</v>
      </c>
      <c r="B104">
        <v>2804</v>
      </c>
      <c r="C104" s="4" t="str">
        <f>VLOOKUP(B104,الجدول!A:B,2,FALSE)</f>
        <v>English Grammar D</v>
      </c>
      <c r="D104">
        <f>VLOOKUP(B104,الجدول!A:E,5,FALSE)</f>
        <v>4</v>
      </c>
      <c r="E104" t="str">
        <f>VLOOKUP(B104,الجدول!A:D,4,FALSE)</f>
        <v>د. عبدالسلام الرقاص</v>
      </c>
      <c r="F104" t="str">
        <f>VLOOKUP(B104,الجدول!A:D,3,FALSE)</f>
        <v>الإربعاء 01:00</v>
      </c>
    </row>
    <row r="105" spans="1:6" x14ac:dyDescent="0.35">
      <c r="A105">
        <v>5828</v>
      </c>
      <c r="B105">
        <v>2811</v>
      </c>
      <c r="C105" s="4" t="str">
        <f>VLOOKUP(B105,الجدول!A:B,2,FALSE)</f>
        <v>Translation Theories and Practice</v>
      </c>
      <c r="D105">
        <f>VLOOKUP(B105,الجدول!A:E,5,FALSE)</f>
        <v>3</v>
      </c>
      <c r="E105" t="str">
        <f>VLOOKUP(B105,الجدول!A:D,4,FALSE)</f>
        <v>أ. علي اغنيوه</v>
      </c>
      <c r="F105" t="str">
        <f>VLOOKUP(B105,الجدول!A:D,3,FALSE)</f>
        <v>السبت 11:00</v>
      </c>
    </row>
    <row r="106" spans="1:6" x14ac:dyDescent="0.35">
      <c r="A106">
        <v>5830</v>
      </c>
      <c r="B106">
        <v>2614</v>
      </c>
      <c r="C106" s="4" t="str">
        <f>VLOOKUP(B106,الجدول!A:B,2,FALSE)</f>
        <v>Lexicography</v>
      </c>
      <c r="D106">
        <f>VLOOKUP(B106,الجدول!A:E,5,FALSE)</f>
        <v>3</v>
      </c>
      <c r="E106" t="str">
        <f>VLOOKUP(B106,الجدول!A:D,4,FALSE)</f>
        <v>أ.  فرج مالك</v>
      </c>
      <c r="F106" t="str">
        <f>VLOOKUP(B106,الجدول!A:D,3,FALSE)</f>
        <v>السبت 09:00</v>
      </c>
    </row>
    <row r="107" spans="1:6" x14ac:dyDescent="0.35">
      <c r="A107">
        <v>5830</v>
      </c>
      <c r="B107">
        <v>2703</v>
      </c>
      <c r="C107" s="4" t="str">
        <f>VLOOKUP(B107,الجدول!A:B,2,FALSE)</f>
        <v>Research Methodology</v>
      </c>
      <c r="D107">
        <f>VLOOKUP(B107,الجدول!A:E,5,FALSE)</f>
        <v>3</v>
      </c>
      <c r="E107" t="str">
        <f>VLOOKUP(B107,الجدول!A:D,4,FALSE)</f>
        <v>أ. فرج الجارح</v>
      </c>
      <c r="F107" t="str">
        <f>VLOOKUP(B107,الجدول!A:D,3,FALSE)</f>
        <v>الخميس 11:00</v>
      </c>
    </row>
    <row r="108" spans="1:6" x14ac:dyDescent="0.35">
      <c r="A108">
        <v>5830</v>
      </c>
      <c r="B108">
        <v>2813</v>
      </c>
      <c r="C108" s="4" t="str">
        <f>VLOOKUP(B108,الجدول!A:B,2,FALSE)</f>
        <v>Language Testing</v>
      </c>
      <c r="D108">
        <f>VLOOKUP(B108,الجدول!A:E,5,FALSE)</f>
        <v>4</v>
      </c>
      <c r="E108" t="str">
        <f>VLOOKUP(B108,الجدول!A:D,4,FALSE)</f>
        <v>أ. فرج الجارح</v>
      </c>
      <c r="F108" t="str">
        <f>VLOOKUP(B108,الجدول!A:D,3,FALSE)</f>
        <v>الإربعاء 11:00</v>
      </c>
    </row>
    <row r="109" spans="1:6" x14ac:dyDescent="0.35">
      <c r="A109">
        <v>5830</v>
      </c>
      <c r="B109">
        <v>2804</v>
      </c>
      <c r="C109" s="4" t="str">
        <f>VLOOKUP(B109,الجدول!A:B,2,FALSE)</f>
        <v>English Grammar D</v>
      </c>
      <c r="D109">
        <f>VLOOKUP(B109,الجدول!A:E,5,FALSE)</f>
        <v>4</v>
      </c>
      <c r="E109" t="str">
        <f>VLOOKUP(B109,الجدول!A:D,4,FALSE)</f>
        <v>د. عبدالسلام الرقاص</v>
      </c>
      <c r="F109" t="str">
        <f>VLOOKUP(B109,الجدول!A:D,3,FALSE)</f>
        <v>الإربعاء 01:00</v>
      </c>
    </row>
    <row r="110" spans="1:6" x14ac:dyDescent="0.35">
      <c r="A110">
        <v>5830</v>
      </c>
      <c r="B110">
        <v>2811</v>
      </c>
      <c r="C110" s="4" t="str">
        <f>VLOOKUP(B110,الجدول!A:B,2,FALSE)</f>
        <v>Translation Theories and Practice</v>
      </c>
      <c r="D110">
        <f>VLOOKUP(B110,الجدول!A:E,5,FALSE)</f>
        <v>3</v>
      </c>
      <c r="E110" t="str">
        <f>VLOOKUP(B110,الجدول!A:D,4,FALSE)</f>
        <v>أ. علي اغنيوه</v>
      </c>
      <c r="F110" t="str">
        <f>VLOOKUP(B110,الجدول!A:D,3,FALSE)</f>
        <v>السبت 11:00</v>
      </c>
    </row>
    <row r="111" spans="1:6" x14ac:dyDescent="0.35">
      <c r="A111">
        <v>5831</v>
      </c>
      <c r="B111">
        <v>2614</v>
      </c>
      <c r="C111" s="4" t="str">
        <f>VLOOKUP(B111,الجدول!A:B,2,FALSE)</f>
        <v>Lexicography</v>
      </c>
      <c r="D111">
        <f>VLOOKUP(B111,الجدول!A:E,5,FALSE)</f>
        <v>3</v>
      </c>
      <c r="E111" t="str">
        <f>VLOOKUP(B111,الجدول!A:D,4,FALSE)</f>
        <v>أ.  فرج مالك</v>
      </c>
      <c r="F111" t="str">
        <f>VLOOKUP(B111,الجدول!A:D,3,FALSE)</f>
        <v>السبت 09:00</v>
      </c>
    </row>
    <row r="112" spans="1:6" x14ac:dyDescent="0.35">
      <c r="A112">
        <v>5831</v>
      </c>
      <c r="B112">
        <v>2703</v>
      </c>
      <c r="C112" s="4" t="str">
        <f>VLOOKUP(B112,الجدول!A:B,2,FALSE)</f>
        <v>Research Methodology</v>
      </c>
      <c r="D112">
        <f>VLOOKUP(B112,الجدول!A:E,5,FALSE)</f>
        <v>3</v>
      </c>
      <c r="E112" t="str">
        <f>VLOOKUP(B112,الجدول!A:D,4,FALSE)</f>
        <v>أ. فرج الجارح</v>
      </c>
      <c r="F112" t="str">
        <f>VLOOKUP(B112,الجدول!A:D,3,FALSE)</f>
        <v>الخميس 11:00</v>
      </c>
    </row>
    <row r="113" spans="1:6" x14ac:dyDescent="0.35">
      <c r="A113">
        <v>5831</v>
      </c>
      <c r="B113">
        <v>2811</v>
      </c>
      <c r="C113" s="4" t="str">
        <f>VLOOKUP(B113,الجدول!A:B,2,FALSE)</f>
        <v>Translation Theories and Practice</v>
      </c>
      <c r="D113">
        <f>VLOOKUP(B113,الجدول!A:E,5,FALSE)</f>
        <v>3</v>
      </c>
      <c r="E113" t="str">
        <f>VLOOKUP(B113,الجدول!A:D,4,FALSE)</f>
        <v>أ. علي اغنيوه</v>
      </c>
      <c r="F113" t="str">
        <f>VLOOKUP(B113,الجدول!A:D,3,FALSE)</f>
        <v>السبت 11:00</v>
      </c>
    </row>
    <row r="114" spans="1:6" x14ac:dyDescent="0.35">
      <c r="A114">
        <v>5831</v>
      </c>
      <c r="B114">
        <v>2813</v>
      </c>
      <c r="C114" s="4" t="str">
        <f>VLOOKUP(B114,الجدول!A:B,2,FALSE)</f>
        <v>Language Testing</v>
      </c>
      <c r="D114">
        <f>VLOOKUP(B114,الجدول!A:E,5,FALSE)</f>
        <v>4</v>
      </c>
      <c r="E114" t="str">
        <f>VLOOKUP(B114,الجدول!A:D,4,FALSE)</f>
        <v>أ. فرج الجارح</v>
      </c>
      <c r="F114" t="str">
        <f>VLOOKUP(B114,الجدول!A:D,3,FALSE)</f>
        <v>الإربعاء 11:00</v>
      </c>
    </row>
    <row r="115" spans="1:6" x14ac:dyDescent="0.35">
      <c r="A115">
        <v>5831</v>
      </c>
      <c r="B115">
        <v>2804</v>
      </c>
      <c r="C115" s="4" t="str">
        <f>VLOOKUP(B115,الجدول!A:B,2,FALSE)</f>
        <v>English Grammar D</v>
      </c>
      <c r="D115">
        <f>VLOOKUP(B115,الجدول!A:E,5,FALSE)</f>
        <v>4</v>
      </c>
      <c r="E115" t="str">
        <f>VLOOKUP(B115,الجدول!A:D,4,FALSE)</f>
        <v>د. عبدالسلام الرقاص</v>
      </c>
      <c r="F115" t="str">
        <f>VLOOKUP(B115,الجدول!A:D,3,FALSE)</f>
        <v>الإربعاء 01:00</v>
      </c>
    </row>
    <row r="116" spans="1:6" x14ac:dyDescent="0.35">
      <c r="A116">
        <v>5832</v>
      </c>
      <c r="B116">
        <v>2603</v>
      </c>
      <c r="C116" s="4" t="str">
        <f>VLOOKUP(B116,الجدول!A:B,2,FALSE)</f>
        <v>Introduction to ESP</v>
      </c>
      <c r="D116">
        <f>VLOOKUP(B116,الجدول!A:E,5,FALSE)</f>
        <v>3</v>
      </c>
      <c r="E116" t="str">
        <f>VLOOKUP(B116,الجدول!A:D,4,FALSE)</f>
        <v>أ. خديجة العشيبي</v>
      </c>
      <c r="F116" t="str">
        <f>VLOOKUP(B116,الجدول!A:D,3,FALSE)</f>
        <v>السبت 01:00</v>
      </c>
    </row>
    <row r="117" spans="1:6" x14ac:dyDescent="0.35">
      <c r="A117">
        <v>5832</v>
      </c>
      <c r="B117">
        <v>2614</v>
      </c>
      <c r="C117" s="4" t="str">
        <f>VLOOKUP(B117,الجدول!A:B,2,FALSE)</f>
        <v>Lexicography</v>
      </c>
      <c r="D117">
        <f>VLOOKUP(B117,الجدول!A:E,5,FALSE)</f>
        <v>3</v>
      </c>
      <c r="E117" t="str">
        <f>VLOOKUP(B117,الجدول!A:D,4,FALSE)</f>
        <v>أ.  فرج مالك</v>
      </c>
      <c r="F117" t="str">
        <f>VLOOKUP(B117,الجدول!A:D,3,FALSE)</f>
        <v>السبت 09:00</v>
      </c>
    </row>
    <row r="118" spans="1:6" x14ac:dyDescent="0.35">
      <c r="A118">
        <v>5832</v>
      </c>
      <c r="B118">
        <v>2804</v>
      </c>
      <c r="C118" s="4" t="str">
        <f>VLOOKUP(B118,الجدول!A:B,2,FALSE)</f>
        <v>English Grammar D</v>
      </c>
      <c r="D118">
        <f>VLOOKUP(B118,الجدول!A:E,5,FALSE)</f>
        <v>4</v>
      </c>
      <c r="E118" t="str">
        <f>VLOOKUP(B118,الجدول!A:D,4,FALSE)</f>
        <v>د. عبدالسلام الرقاص</v>
      </c>
      <c r="F118" t="str">
        <f>VLOOKUP(B118,الجدول!A:D,3,FALSE)</f>
        <v>الإربعاء 01:00</v>
      </c>
    </row>
    <row r="119" spans="1:6" x14ac:dyDescent="0.35">
      <c r="A119">
        <v>5832</v>
      </c>
      <c r="B119">
        <v>2703</v>
      </c>
      <c r="C119" s="4" t="str">
        <f>VLOOKUP(B119,الجدول!A:B,2,FALSE)</f>
        <v>Research Methodology</v>
      </c>
      <c r="D119">
        <f>VLOOKUP(B119,الجدول!A:E,5,FALSE)</f>
        <v>3</v>
      </c>
      <c r="E119" t="str">
        <f>VLOOKUP(B119,الجدول!A:D,4,FALSE)</f>
        <v>أ. فرج الجارح</v>
      </c>
      <c r="F119" t="str">
        <f>VLOOKUP(B119,الجدول!A:D,3,FALSE)</f>
        <v>الخميس 11:00</v>
      </c>
    </row>
    <row r="120" spans="1:6" x14ac:dyDescent="0.35">
      <c r="A120">
        <v>5832</v>
      </c>
      <c r="B120">
        <v>2813</v>
      </c>
      <c r="C120" s="4" t="str">
        <f>VLOOKUP(B120,الجدول!A:B,2,FALSE)</f>
        <v>Language Testing</v>
      </c>
      <c r="D120">
        <f>VLOOKUP(B120,الجدول!A:E,5,FALSE)</f>
        <v>4</v>
      </c>
      <c r="E120" t="str">
        <f>VLOOKUP(B120,الجدول!A:D,4,FALSE)</f>
        <v>أ. فرج الجارح</v>
      </c>
      <c r="F120" t="str">
        <f>VLOOKUP(B120,الجدول!A:D,3,FALSE)</f>
        <v>الإربعاء 11:00</v>
      </c>
    </row>
    <row r="121" spans="1:6" x14ac:dyDescent="0.35">
      <c r="A121">
        <v>5832</v>
      </c>
      <c r="B121">
        <v>2815</v>
      </c>
      <c r="C121" s="4" t="str">
        <f>VLOOKUP(B121,الجدول!A:B,2,FALSE)</f>
        <v>CALL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الإربعاء 09:00</v>
      </c>
    </row>
    <row r="122" spans="1:6" x14ac:dyDescent="0.35">
      <c r="A122">
        <v>5871</v>
      </c>
      <c r="B122">
        <v>2811</v>
      </c>
      <c r="C122" s="4" t="str">
        <f>VLOOKUP(B122,الجدول!A:B,2,FALSE)</f>
        <v>Translation Theories and Practice</v>
      </c>
      <c r="D122">
        <f>VLOOKUP(B122,الجدول!A:E,5,FALSE)</f>
        <v>3</v>
      </c>
      <c r="E122" t="str">
        <f>VLOOKUP(B122,الجدول!A:D,4,FALSE)</f>
        <v>أ. علي اغنيوه</v>
      </c>
      <c r="F122" t="str">
        <f>VLOOKUP(B122,الجدول!A:D,3,FALSE)</f>
        <v>السبت 11:00</v>
      </c>
    </row>
    <row r="123" spans="1:6" x14ac:dyDescent="0.35">
      <c r="A123">
        <v>5871</v>
      </c>
      <c r="B123">
        <v>2812</v>
      </c>
      <c r="C123" s="4" t="str">
        <f>VLOOKUP(B123,الجدول!A:B,2,FALSE)</f>
        <v>Research Project</v>
      </c>
      <c r="D123">
        <f>VLOOKUP(B123,الجدول!A:E,5,FALSE)</f>
        <v>4</v>
      </c>
      <c r="E123">
        <f>VLOOKUP(B123,الجدول!A:D,4,FALSE)</f>
        <v>0</v>
      </c>
      <c r="F123" t="str">
        <f>VLOOKUP(B123,الجدول!A:D,3,FALSE)</f>
        <v/>
      </c>
    </row>
    <row r="124" spans="1:6" x14ac:dyDescent="0.35">
      <c r="A124">
        <v>5871</v>
      </c>
      <c r="B124">
        <v>2813</v>
      </c>
      <c r="C124" s="4" t="str">
        <f>VLOOKUP(B124,الجدول!A:B,2,FALSE)</f>
        <v>Language Testing</v>
      </c>
      <c r="D124">
        <f>VLOOKUP(B124,الجدول!A:E,5,FALSE)</f>
        <v>4</v>
      </c>
      <c r="E124" t="str">
        <f>VLOOKUP(B124,الجدول!A:D,4,FALSE)</f>
        <v>أ. فرج الجارح</v>
      </c>
      <c r="F124" t="str">
        <f>VLOOKUP(B124,الجدول!A:D,3,FALSE)</f>
        <v>الإربعاء 11:00</v>
      </c>
    </row>
    <row r="125" spans="1:6" x14ac:dyDescent="0.35">
      <c r="A125">
        <v>5871</v>
      </c>
      <c r="B125">
        <v>2804</v>
      </c>
      <c r="C125" s="4" t="str">
        <f>VLOOKUP(B125,الجدول!A:B,2,FALSE)</f>
        <v>English Grammar D</v>
      </c>
      <c r="D125">
        <f>VLOOKUP(B125,الجدول!A:E,5,FALSE)</f>
        <v>4</v>
      </c>
      <c r="E125" t="str">
        <f>VLOOKUP(B125,الجدول!A:D,4,FALSE)</f>
        <v>د. عبدالسلام الرقاص</v>
      </c>
      <c r="F125" t="str">
        <f>VLOOKUP(B125,الجدول!A:D,3,FALSE)</f>
        <v>الإربعاء 01:00</v>
      </c>
    </row>
    <row r="126" spans="1:6" x14ac:dyDescent="0.35">
      <c r="A126">
        <v>5871</v>
      </c>
      <c r="B126">
        <v>2815</v>
      </c>
      <c r="C126" s="4" t="str">
        <f>VLOOKUP(B126,الجدول!A:B,2,FALSE)</f>
        <v>CALL</v>
      </c>
      <c r="D126">
        <f>VLOOKUP(B126,الجدول!A:E,5,FALSE)</f>
        <v>3</v>
      </c>
      <c r="E126" t="str">
        <f>VLOOKUP(B126,الجدول!A:D,4,FALSE)</f>
        <v>أ. فرج الجارح</v>
      </c>
      <c r="F126" t="str">
        <f>VLOOKUP(B126,الجدول!A:D,3,FALSE)</f>
        <v>الإربعاء 09:00</v>
      </c>
    </row>
    <row r="127" spans="1:6" x14ac:dyDescent="0.35">
      <c r="A127">
        <v>5943</v>
      </c>
      <c r="B127">
        <v>2813</v>
      </c>
      <c r="C127" s="4" t="str">
        <f>VLOOKUP(B127,الجدول!A:B,2,FALSE)</f>
        <v>Language Testing</v>
      </c>
      <c r="D127">
        <f>VLOOKUP(B127,الجدول!A:E,5,FALSE)</f>
        <v>4</v>
      </c>
      <c r="E127" t="str">
        <f>VLOOKUP(B127,الجدول!A:D,4,FALSE)</f>
        <v>أ. فرج الجارح</v>
      </c>
      <c r="F127" t="str">
        <f>VLOOKUP(B127,الجدول!A:D,3,FALSE)</f>
        <v>الإربعاء 11:00</v>
      </c>
    </row>
    <row r="128" spans="1:6" x14ac:dyDescent="0.35">
      <c r="A128">
        <v>5943</v>
      </c>
      <c r="B128">
        <v>2614</v>
      </c>
      <c r="C128" s="4" t="str">
        <f>VLOOKUP(B128,الجدول!A:B,2,FALSE)</f>
        <v>Lexicography</v>
      </c>
      <c r="D128">
        <f>VLOOKUP(B128,الجدول!A:E,5,FALSE)</f>
        <v>3</v>
      </c>
      <c r="E128" t="str">
        <f>VLOOKUP(B128,الجدول!A:D,4,FALSE)</f>
        <v>أ.  فرج مالك</v>
      </c>
      <c r="F128" t="str">
        <f>VLOOKUP(B128,الجدول!A:D,3,FALSE)</f>
        <v>السبت 09:00</v>
      </c>
    </row>
    <row r="129" spans="1:6" x14ac:dyDescent="0.35">
      <c r="A129">
        <v>5943</v>
      </c>
      <c r="B129">
        <v>2703</v>
      </c>
      <c r="C129" s="4" t="str">
        <f>VLOOKUP(B129,الجدول!A:B,2,FALSE)</f>
        <v>Research Methodology</v>
      </c>
      <c r="D129">
        <f>VLOOKUP(B129,الجدول!A:E,5,FALSE)</f>
        <v>3</v>
      </c>
      <c r="E129" t="str">
        <f>VLOOKUP(B129,الجدول!A:D,4,FALSE)</f>
        <v>أ. فرج الجارح</v>
      </c>
      <c r="F129" t="str">
        <f>VLOOKUP(B129,الجدول!A:D,3,FALSE)</f>
        <v>الخميس 11:00</v>
      </c>
    </row>
    <row r="130" spans="1:6" x14ac:dyDescent="0.35">
      <c r="A130">
        <v>5943</v>
      </c>
      <c r="B130">
        <v>2704</v>
      </c>
      <c r="C130" s="4" t="str">
        <f>VLOOKUP(B130,الجدول!A:B,2,FALSE)</f>
        <v>Semantics</v>
      </c>
      <c r="D130">
        <f>VLOOKUP(B130,الجدول!A:E,5,FALSE)</f>
        <v>3</v>
      </c>
      <c r="E130" t="str">
        <f>VLOOKUP(B130,الجدول!A:D,4,FALSE)</f>
        <v>أ. الشريف الملاح</v>
      </c>
      <c r="F130" t="str">
        <f>VLOOKUP(B130,الجدول!A:D,3,FALSE)</f>
        <v>الأحد 11:00</v>
      </c>
    </row>
    <row r="131" spans="1:6" x14ac:dyDescent="0.35">
      <c r="A131">
        <v>5943</v>
      </c>
      <c r="B131">
        <v>2811</v>
      </c>
      <c r="C131" s="4" t="str">
        <f>VLOOKUP(B131,الجدول!A:B,2,FALSE)</f>
        <v>Translation Theories and Practice</v>
      </c>
      <c r="D131">
        <f>VLOOKUP(B131,الجدول!A:E,5,FALSE)</f>
        <v>3</v>
      </c>
      <c r="E131" t="str">
        <f>VLOOKUP(B131,الجدول!A:D,4,FALSE)</f>
        <v>أ. علي اغنيوه</v>
      </c>
      <c r="F131" t="str">
        <f>VLOOKUP(B131,الجدول!A:D,3,FALSE)</f>
        <v>السبت 11:00</v>
      </c>
    </row>
    <row r="132" spans="1:6" x14ac:dyDescent="0.35">
      <c r="A132">
        <v>5944</v>
      </c>
      <c r="B132">
        <v>2401</v>
      </c>
      <c r="C132" s="4" t="str">
        <f>VLOOKUP(B132,الجدول!A:B,2,FALSE)</f>
        <v>Literary Readings A</v>
      </c>
      <c r="D132">
        <f>VLOOKUP(B132,الجدول!A:E,5,FALSE)</f>
        <v>3</v>
      </c>
      <c r="E132" t="str">
        <f>VLOOKUP(B132,الجدول!A:D,4,FALSE)</f>
        <v>أ.  فرج مالك</v>
      </c>
      <c r="F132" t="str">
        <f>VLOOKUP(B132,الجدول!A:D,3,FALSE)</f>
        <v>السبت 01:00</v>
      </c>
    </row>
    <row r="133" spans="1:6" x14ac:dyDescent="0.35">
      <c r="A133">
        <v>5944</v>
      </c>
      <c r="B133">
        <v>2514</v>
      </c>
      <c r="C133" s="4" t="str">
        <f>VLOOKUP(B133,الجدول!A:B,2,FALSE)</f>
        <v>English / Arabic Translation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09:00</v>
      </c>
    </row>
    <row r="134" spans="1:6" x14ac:dyDescent="0.35">
      <c r="A134">
        <v>5944</v>
      </c>
      <c r="B134">
        <v>2804</v>
      </c>
      <c r="C134" s="4" t="str">
        <f>VLOOKUP(B134,الجدول!A:B,2,FALSE)</f>
        <v>English Grammar D</v>
      </c>
      <c r="D134">
        <f>VLOOKUP(B134,الجدول!A:E,5,FALSE)</f>
        <v>4</v>
      </c>
      <c r="E134" t="str">
        <f>VLOOKUP(B134,الجدول!A:D,4,FALSE)</f>
        <v>د. عبدالسلام الرقاص</v>
      </c>
      <c r="F134" t="str">
        <f>VLOOKUP(B134,الجدول!A:D,3,FALSE)</f>
        <v>الإربعاء 01:00</v>
      </c>
    </row>
    <row r="135" spans="1:6" x14ac:dyDescent="0.35">
      <c r="A135">
        <v>5944</v>
      </c>
      <c r="B135">
        <v>2815</v>
      </c>
      <c r="C135" s="4" t="str">
        <f>VLOOKUP(B135,الجدول!A:B,2,FALSE)</f>
        <v>CALL</v>
      </c>
      <c r="D135">
        <f>VLOOKUP(B135,الجدول!A:E,5,FALSE)</f>
        <v>3</v>
      </c>
      <c r="E135" t="str">
        <f>VLOOKUP(B135,الجدول!A:D,4,FALSE)</f>
        <v>أ. فرج الجارح</v>
      </c>
      <c r="F135" t="str">
        <f>VLOOKUP(B135,الجدول!A:D,3,FALSE)</f>
        <v>الإربعاء 09:00</v>
      </c>
    </row>
    <row r="136" spans="1:6" x14ac:dyDescent="0.35">
      <c r="A136">
        <v>5944</v>
      </c>
      <c r="B136">
        <v>2713</v>
      </c>
      <c r="C136" s="4" t="str">
        <f>VLOOKUP(B136,الجدول!A:B,2,FALSE)</f>
        <v>Teaching Language Skills</v>
      </c>
      <c r="D136">
        <f>VLOOKUP(B136,الجدول!A:E,5,FALSE)</f>
        <v>3</v>
      </c>
      <c r="E136" t="str">
        <f>VLOOKUP(B136,الجدول!A:D,4,FALSE)</f>
        <v>أ. فرج الجارح</v>
      </c>
      <c r="F136" t="str">
        <f>VLOOKUP(B136,الجدول!A:D,3,FALSE)</f>
        <v>الخميس 09:00</v>
      </c>
    </row>
    <row r="137" spans="1:6" x14ac:dyDescent="0.35">
      <c r="A137">
        <v>5946</v>
      </c>
      <c r="B137">
        <v>2402</v>
      </c>
      <c r="C137" s="4" t="str">
        <f>VLOOKUP(B137,الجدول!A:B,2,FALSE)</f>
        <v>Reading Comprehension C</v>
      </c>
      <c r="D137">
        <f>VLOOKUP(B137,الجدول!A:E,5,FALSE)</f>
        <v>3</v>
      </c>
      <c r="E137" t="str">
        <f>VLOOKUP(B137,الجدول!A:D,4,FALSE)</f>
        <v>أ. يونس مصطفى</v>
      </c>
      <c r="F137" t="str">
        <f>VLOOKUP(B137,الجدول!A:D,3,FALSE)</f>
        <v>الإثنين 01:00</v>
      </c>
    </row>
    <row r="138" spans="1:6" x14ac:dyDescent="0.35">
      <c r="A138">
        <v>5946</v>
      </c>
      <c r="B138">
        <v>2301</v>
      </c>
      <c r="C138" s="4" t="str">
        <f>VLOOKUP(B138,الجدول!A:B,2,FALSE)</f>
        <v>Introduction to Linguistics</v>
      </c>
      <c r="D138">
        <f>VLOOKUP(B138,الجدول!A:E,5,FALSE)</f>
        <v>4</v>
      </c>
      <c r="E138" t="str">
        <f>VLOOKUP(B138,الجدول!A:D,4,FALSE)</f>
        <v>أ. الشريف الملاح</v>
      </c>
      <c r="F138" t="str">
        <f>VLOOKUP(B138,الجدول!A:D,3,FALSE)</f>
        <v>الأحد 09:00</v>
      </c>
    </row>
    <row r="139" spans="1:6" x14ac:dyDescent="0.35">
      <c r="A139">
        <v>5946</v>
      </c>
      <c r="B139">
        <v>2614</v>
      </c>
      <c r="C139" s="4" t="str">
        <f>VLOOKUP(B139,الجدول!A:B,2,FALSE)</f>
        <v>Lexicography</v>
      </c>
      <c r="D139">
        <f>VLOOKUP(B139,الجدول!A:E,5,FALSE)</f>
        <v>3</v>
      </c>
      <c r="E139" t="str">
        <f>VLOOKUP(B139,الجدول!A:D,4,FALSE)</f>
        <v>أ.  فرج مالك</v>
      </c>
      <c r="F139" t="str">
        <f>VLOOKUP(B139,الجدول!A:D,3,FALSE)</f>
        <v>السبت 09:00</v>
      </c>
    </row>
    <row r="140" spans="1:6" x14ac:dyDescent="0.35">
      <c r="A140">
        <v>5946</v>
      </c>
      <c r="B140">
        <v>2401</v>
      </c>
      <c r="C140" s="4" t="str">
        <f>VLOOKUP(B140,الجدول!A:B,2,FALSE)</f>
        <v>Literary Readings A</v>
      </c>
      <c r="D140">
        <f>VLOOKUP(B140,الجدول!A:E,5,FALSE)</f>
        <v>3</v>
      </c>
      <c r="E140" t="str">
        <f>VLOOKUP(B140,الجدول!A:D,4,FALSE)</f>
        <v>أ.  فرج مالك</v>
      </c>
      <c r="F140" t="str">
        <f>VLOOKUP(B140,الجدول!A:D,3,FALSE)</f>
        <v>السبت 01:00</v>
      </c>
    </row>
    <row r="141" spans="1:6" x14ac:dyDescent="0.35">
      <c r="A141">
        <v>5946</v>
      </c>
      <c r="B141">
        <v>2513</v>
      </c>
      <c r="C141" s="4" t="str">
        <f>VLOOKUP(B141,الجدول!A:B,2,FALSE)</f>
        <v>Language Acquisition</v>
      </c>
      <c r="D141">
        <f>VLOOKUP(B141,الجدول!A:E,5,FALSE)</f>
        <v>4</v>
      </c>
      <c r="E141" t="str">
        <f>VLOOKUP(B141,الجدول!A:D,4,FALSE)</f>
        <v>أ. آية ثابت</v>
      </c>
      <c r="F141" t="str">
        <f>VLOOKUP(B141,الجدول!A:D,3,FALSE)</f>
        <v>الخميس 11:00</v>
      </c>
    </row>
    <row r="142" spans="1:6" x14ac:dyDescent="0.35">
      <c r="A142">
        <v>5947</v>
      </c>
      <c r="B142">
        <v>2603</v>
      </c>
      <c r="C142" s="4" t="str">
        <f>VLOOKUP(B142,الجدول!A:B,2,FALSE)</f>
        <v>Introduction to ESP</v>
      </c>
      <c r="D142">
        <f>VLOOKUP(B142,الجدول!A:E,5,FALSE)</f>
        <v>3</v>
      </c>
      <c r="E142" t="str">
        <f>VLOOKUP(B142,الجدول!A:D,4,FALSE)</f>
        <v>أ. خديجة العشيبي</v>
      </c>
      <c r="F142" t="str">
        <f>VLOOKUP(B142,الجدول!A:D,3,FALSE)</f>
        <v>السبت 01:00</v>
      </c>
    </row>
    <row r="143" spans="1:6" x14ac:dyDescent="0.35">
      <c r="A143">
        <v>5947</v>
      </c>
      <c r="B143">
        <v>2804</v>
      </c>
      <c r="C143" s="4" t="str">
        <f>VLOOKUP(B143,الجدول!A:B,2,FALSE)</f>
        <v>English Grammar D</v>
      </c>
      <c r="D143">
        <f>VLOOKUP(B143,الجدول!A:E,5,FALSE)</f>
        <v>4</v>
      </c>
      <c r="E143" t="str">
        <f>VLOOKUP(B143,الجدول!A:D,4,FALSE)</f>
        <v>د. عبدالسلام الرقاص</v>
      </c>
      <c r="F143" t="str">
        <f>VLOOKUP(B143,الجدول!A:D,3,FALSE)</f>
        <v>الإربعاء 01:00</v>
      </c>
    </row>
    <row r="144" spans="1:6" x14ac:dyDescent="0.35">
      <c r="A144">
        <v>5947</v>
      </c>
      <c r="B144">
        <v>2811</v>
      </c>
      <c r="C144" s="4" t="str">
        <f>VLOOKUP(B144,الجدول!A:B,2,FALSE)</f>
        <v>Translation Theories and Practice</v>
      </c>
      <c r="D144">
        <f>VLOOKUP(B144,الجدول!A:E,5,FALSE)</f>
        <v>3</v>
      </c>
      <c r="E144" t="str">
        <f>VLOOKUP(B144,الجدول!A:D,4,FALSE)</f>
        <v>أ. علي اغنيوه</v>
      </c>
      <c r="F144" t="str">
        <f>VLOOKUP(B144,الجدول!A:D,3,FALSE)</f>
        <v>السبت 11:00</v>
      </c>
    </row>
    <row r="145" spans="1:6" x14ac:dyDescent="0.35">
      <c r="A145">
        <v>5947</v>
      </c>
      <c r="B145">
        <v>2703</v>
      </c>
      <c r="C145" s="4" t="str">
        <f>VLOOKUP(B145,الجدول!A:B,2,FALSE)</f>
        <v>Research Methodology</v>
      </c>
      <c r="D145">
        <f>VLOOKUP(B145,الجدول!A:E,5,FALSE)</f>
        <v>3</v>
      </c>
      <c r="E145" t="str">
        <f>VLOOKUP(B145,الجدول!A:D,4,FALSE)</f>
        <v>أ. فرج الجارح</v>
      </c>
      <c r="F145" t="str">
        <f>VLOOKUP(B145,الجدول!A:D,3,FALSE)</f>
        <v>الخميس 11:00</v>
      </c>
    </row>
    <row r="146" spans="1:6" x14ac:dyDescent="0.35">
      <c r="A146">
        <v>5947</v>
      </c>
      <c r="B146">
        <v>2713</v>
      </c>
      <c r="C146" s="4" t="str">
        <f>VLOOKUP(B146,الجدول!A:B,2,FALSE)</f>
        <v>Teaching Language Skills</v>
      </c>
      <c r="D146">
        <f>VLOOKUP(B146,الجدول!A:E,5,FALSE)</f>
        <v>3</v>
      </c>
      <c r="E146" t="str">
        <f>VLOOKUP(B146,الجدول!A:D,4,FALSE)</f>
        <v>أ. فرج الجارح</v>
      </c>
      <c r="F146" t="str">
        <f>VLOOKUP(B146,الجدول!A:D,3,FALSE)</f>
        <v>الخميس 09:00</v>
      </c>
    </row>
    <row r="147" spans="1:6" x14ac:dyDescent="0.35">
      <c r="A147">
        <v>5949</v>
      </c>
      <c r="B147">
        <v>2603</v>
      </c>
      <c r="C147" s="4" t="str">
        <f>VLOOKUP(B147,الجدول!A:B,2,FALSE)</f>
        <v>Introduction to ESP</v>
      </c>
      <c r="D147">
        <f>VLOOKUP(B147,الجدول!A:E,5,FALSE)</f>
        <v>3</v>
      </c>
      <c r="E147" t="str">
        <f>VLOOKUP(B147,الجدول!A:D,4,FALSE)</f>
        <v>أ. خديجة العشيبي</v>
      </c>
      <c r="F147" t="str">
        <f>VLOOKUP(B147,الجدول!A:D,3,FALSE)</f>
        <v>السبت 01:00</v>
      </c>
    </row>
    <row r="148" spans="1:6" x14ac:dyDescent="0.35">
      <c r="A148">
        <v>5949</v>
      </c>
      <c r="B148">
        <v>2614</v>
      </c>
      <c r="C148" s="4" t="str">
        <f>VLOOKUP(B148,الجدول!A:B,2,FALSE)</f>
        <v>Lexicography</v>
      </c>
      <c r="D148">
        <f>VLOOKUP(B148,الجدول!A:E,5,FALSE)</f>
        <v>3</v>
      </c>
      <c r="E148" t="str">
        <f>VLOOKUP(B148,الجدول!A:D,4,FALSE)</f>
        <v>أ.  فرج مالك</v>
      </c>
      <c r="F148" t="str">
        <f>VLOOKUP(B148,الجدول!A:D,3,FALSE)</f>
        <v>السبت 09:00</v>
      </c>
    </row>
    <row r="149" spans="1:6" x14ac:dyDescent="0.35">
      <c r="A149">
        <v>5949</v>
      </c>
      <c r="B149">
        <v>2811</v>
      </c>
      <c r="C149" s="4" t="str">
        <f>VLOOKUP(B149,الجدول!A:B,2,FALSE)</f>
        <v>Translation Theories and Practice</v>
      </c>
      <c r="D149">
        <f>VLOOKUP(B149,الجدول!A:E,5,FALSE)</f>
        <v>3</v>
      </c>
      <c r="E149" t="str">
        <f>VLOOKUP(B149,الجدول!A:D,4,FALSE)</f>
        <v>أ. علي اغنيوه</v>
      </c>
      <c r="F149" t="str">
        <f>VLOOKUP(B149,الجدول!A:D,3,FALSE)</f>
        <v>السبت 11:00</v>
      </c>
    </row>
    <row r="150" spans="1:6" x14ac:dyDescent="0.35">
      <c r="A150">
        <v>5949</v>
      </c>
      <c r="B150">
        <v>2703</v>
      </c>
      <c r="C150" s="4" t="str">
        <f>VLOOKUP(B150,الجدول!A:B,2,FALSE)</f>
        <v>Research Methodology</v>
      </c>
      <c r="D150">
        <f>VLOOKUP(B150,الجدول!A:E,5,FALSE)</f>
        <v>3</v>
      </c>
      <c r="E150" t="str">
        <f>VLOOKUP(B150,الجدول!A:D,4,FALSE)</f>
        <v>أ. فرج الجارح</v>
      </c>
      <c r="F150" t="str">
        <f>VLOOKUP(B150,الجدول!A:D,3,FALSE)</f>
        <v>الخميس 11:00</v>
      </c>
    </row>
    <row r="151" spans="1:6" x14ac:dyDescent="0.35">
      <c r="A151">
        <v>5949</v>
      </c>
      <c r="B151">
        <v>2713</v>
      </c>
      <c r="C151" s="4" t="str">
        <f>VLOOKUP(B151,الجدول!A:B,2,FALSE)</f>
        <v>Teaching Language Skills</v>
      </c>
      <c r="D151">
        <f>VLOOKUP(B151,الجدول!A:E,5,FALSE)</f>
        <v>3</v>
      </c>
      <c r="E151" t="str">
        <f>VLOOKUP(B151,الجدول!A:D,4,FALSE)</f>
        <v>أ. فرج الجارح</v>
      </c>
      <c r="F151" t="str">
        <f>VLOOKUP(B151,الجدول!A:D,3,FALSE)</f>
        <v>الخميس 09:00</v>
      </c>
    </row>
    <row r="152" spans="1:6" x14ac:dyDescent="0.35">
      <c r="A152">
        <v>5950</v>
      </c>
      <c r="B152">
        <v>2401</v>
      </c>
      <c r="C152" s="4" t="str">
        <f>VLOOKUP(B152,الجدول!A:B,2,FALSE)</f>
        <v>Literary Readings A</v>
      </c>
      <c r="D152">
        <f>VLOOKUP(B152,الجدول!A:E,5,FALSE)</f>
        <v>3</v>
      </c>
      <c r="E152" t="str">
        <f>VLOOKUP(B152,الجدول!A:D,4,FALSE)</f>
        <v>أ.  فرج مالك</v>
      </c>
      <c r="F152" t="str">
        <f>VLOOKUP(B152,الجدول!A:D,3,FALSE)</f>
        <v>السبت 01:00</v>
      </c>
    </row>
    <row r="153" spans="1:6" x14ac:dyDescent="0.35">
      <c r="A153">
        <v>5950</v>
      </c>
      <c r="B153">
        <v>2512</v>
      </c>
      <c r="C153" s="4" t="str">
        <f>VLOOKUP(B153,الجدول!A:B,2,FALSE)</f>
        <v>Phonetics and Phonology</v>
      </c>
      <c r="D153">
        <f>VLOOKUP(B153,الجدول!A:E,5,FALSE)</f>
        <v>3</v>
      </c>
      <c r="E153" t="str">
        <f>VLOOKUP(B153,الجدول!A:D,4,FALSE)</f>
        <v>أ. الشريف الملاح</v>
      </c>
      <c r="F153" t="str">
        <f>VLOOKUP(B153,الجدول!A:D,3,FALSE)</f>
        <v>الخميس 09:00</v>
      </c>
    </row>
    <row r="154" spans="1:6" x14ac:dyDescent="0.35">
      <c r="A154">
        <v>5950</v>
      </c>
      <c r="B154">
        <v>2703</v>
      </c>
      <c r="C154" s="4" t="str">
        <f>VLOOKUP(B154,الجدول!A:B,2,FALSE)</f>
        <v>Research Methodology</v>
      </c>
      <c r="D154">
        <f>VLOOKUP(B154,الجدول!A:E,5,FALSE)</f>
        <v>3</v>
      </c>
      <c r="E154" t="str">
        <f>VLOOKUP(B154,الجدول!A:D,4,FALSE)</f>
        <v>أ. فرج الجارح</v>
      </c>
      <c r="F154" t="str">
        <f>VLOOKUP(B154,الجدول!A:D,3,FALSE)</f>
        <v>الخميس 11:00</v>
      </c>
    </row>
    <row r="155" spans="1:6" x14ac:dyDescent="0.35">
      <c r="A155">
        <v>5950</v>
      </c>
      <c r="B155">
        <v>2804</v>
      </c>
      <c r="C155" s="4" t="str">
        <f>VLOOKUP(B155,الجدول!A:B,2,FALSE)</f>
        <v>English Grammar D</v>
      </c>
      <c r="D155">
        <f>VLOOKUP(B155,الجدول!A:E,5,FALSE)</f>
        <v>4</v>
      </c>
      <c r="E155" t="str">
        <f>VLOOKUP(B155,الجدول!A:D,4,FALSE)</f>
        <v>د. عبدالسلام الرقاص</v>
      </c>
      <c r="F155" t="str">
        <f>VLOOKUP(B155,الجدول!A:D,3,FALSE)</f>
        <v>الإربعاء 01:00</v>
      </c>
    </row>
    <row r="156" spans="1:6" x14ac:dyDescent="0.35">
      <c r="A156">
        <v>5950</v>
      </c>
      <c r="B156">
        <v>2811</v>
      </c>
      <c r="C156" s="4" t="str">
        <f>VLOOKUP(B156,الجدول!A:B,2,FALSE)</f>
        <v>Translation Theories and Practice</v>
      </c>
      <c r="D156">
        <f>VLOOKUP(B156,الجدول!A:E,5,FALSE)</f>
        <v>3</v>
      </c>
      <c r="E156" t="str">
        <f>VLOOKUP(B156,الجدول!A:D,4,FALSE)</f>
        <v>أ. علي اغنيوه</v>
      </c>
      <c r="F156" t="str">
        <f>VLOOKUP(B156,الجدول!A:D,3,FALSE)</f>
        <v>السبت 11:00</v>
      </c>
    </row>
    <row r="157" spans="1:6" x14ac:dyDescent="0.35">
      <c r="A157">
        <v>5953</v>
      </c>
      <c r="B157">
        <v>2512</v>
      </c>
      <c r="C157" s="4" t="str">
        <f>VLOOKUP(B157,الجدول!A:B,2,FALSE)</f>
        <v>Phonetics and Phonology</v>
      </c>
      <c r="D157">
        <f>VLOOKUP(B157,الجدول!A:E,5,FALSE)</f>
        <v>3</v>
      </c>
      <c r="E157" t="str">
        <f>VLOOKUP(B157,الجدول!A:D,4,FALSE)</f>
        <v>أ. الشريف الملاح</v>
      </c>
      <c r="F157" t="str">
        <f>VLOOKUP(B157,الجدول!A:D,3,FALSE)</f>
        <v>الخميس 09:00</v>
      </c>
    </row>
    <row r="158" spans="1:6" x14ac:dyDescent="0.35">
      <c r="A158">
        <v>5953</v>
      </c>
      <c r="B158">
        <v>2614</v>
      </c>
      <c r="C158" s="4" t="str">
        <f>VLOOKUP(B158,الجدول!A:B,2,FALSE)</f>
        <v>Lexicography</v>
      </c>
      <c r="D158">
        <f>VLOOKUP(B158,الجدول!A:E,5,FALSE)</f>
        <v>3</v>
      </c>
      <c r="E158" t="str">
        <f>VLOOKUP(B158,الجدول!A:D,4,FALSE)</f>
        <v>أ.  فرج مالك</v>
      </c>
      <c r="F158" t="str">
        <f>VLOOKUP(B158,الجدول!A:D,3,FALSE)</f>
        <v>السبت 09:00</v>
      </c>
    </row>
    <row r="159" spans="1:6" x14ac:dyDescent="0.35">
      <c r="A159">
        <v>5953</v>
      </c>
      <c r="B159">
        <v>2703</v>
      </c>
      <c r="C159" s="4" t="str">
        <f>VLOOKUP(B159,الجدول!A:B,2,FALSE)</f>
        <v>Research Methodology</v>
      </c>
      <c r="D159">
        <f>VLOOKUP(B159,الجدول!A:E,5,FALSE)</f>
        <v>3</v>
      </c>
      <c r="E159" t="str">
        <f>VLOOKUP(B159,الجدول!A:D,4,FALSE)</f>
        <v>أ. فرج الجارح</v>
      </c>
      <c r="F159" t="str">
        <f>VLOOKUP(B159,الجدول!A:D,3,FALSE)</f>
        <v>الخميس 11:00</v>
      </c>
    </row>
    <row r="160" spans="1:6" x14ac:dyDescent="0.35">
      <c r="A160">
        <v>5953</v>
      </c>
      <c r="B160">
        <v>2704</v>
      </c>
      <c r="C160" s="4" t="str">
        <f>VLOOKUP(B160,الجدول!A:B,2,FALSE)</f>
        <v>Semantics</v>
      </c>
      <c r="D160">
        <f>VLOOKUP(B160,الجدول!A:E,5,FALSE)</f>
        <v>3</v>
      </c>
      <c r="E160" t="str">
        <f>VLOOKUP(B160,الجدول!A:D,4,FALSE)</f>
        <v>أ. الشريف الملاح</v>
      </c>
      <c r="F160" t="str">
        <f>VLOOKUP(B160,الجدول!A:D,3,FALSE)</f>
        <v>الأحد 11:00</v>
      </c>
    </row>
    <row r="161" spans="1:6" x14ac:dyDescent="0.35">
      <c r="A161">
        <v>5953</v>
      </c>
      <c r="B161">
        <v>2811</v>
      </c>
      <c r="C161" s="4" t="str">
        <f>VLOOKUP(B161,الجدول!A:B,2,FALSE)</f>
        <v>Translation Theories and Practice</v>
      </c>
      <c r="D161">
        <f>VLOOKUP(B161,الجدول!A:E,5,FALSE)</f>
        <v>3</v>
      </c>
      <c r="E161" t="str">
        <f>VLOOKUP(B161,الجدول!A:D,4,FALSE)</f>
        <v>أ. علي اغنيوه</v>
      </c>
      <c r="F161" t="str">
        <f>VLOOKUP(B161,الجدول!A:D,3,FALSE)</f>
        <v>السبت 11:00</v>
      </c>
    </row>
    <row r="162" spans="1:6" x14ac:dyDescent="0.35">
      <c r="A162">
        <v>6073</v>
      </c>
      <c r="B162">
        <v>2512</v>
      </c>
      <c r="C162" s="4" t="str">
        <f>VLOOKUP(B162,الجدول!A:B,2,FALSE)</f>
        <v>Phonetics and Phonology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الخميس 09:00</v>
      </c>
    </row>
    <row r="163" spans="1:6" x14ac:dyDescent="0.35">
      <c r="A163">
        <v>6073</v>
      </c>
      <c r="B163">
        <v>2614</v>
      </c>
      <c r="C163" s="4" t="str">
        <f>VLOOKUP(B163,الجدول!A:B,2,FALSE)</f>
        <v>Lexicography</v>
      </c>
      <c r="D163">
        <f>VLOOKUP(B163,الجدول!A:E,5,FALSE)</f>
        <v>3</v>
      </c>
      <c r="E163" t="str">
        <f>VLOOKUP(B163,الجدول!A:D,4,FALSE)</f>
        <v>أ.  فرج مالك</v>
      </c>
      <c r="F163" t="str">
        <f>VLOOKUP(B163,الجدول!A:D,3,FALSE)</f>
        <v>السبت 09:00</v>
      </c>
    </row>
    <row r="164" spans="1:6" x14ac:dyDescent="0.35">
      <c r="A164">
        <v>6073</v>
      </c>
      <c r="B164">
        <v>2703</v>
      </c>
      <c r="C164" s="4" t="str">
        <f>VLOOKUP(B164,الجدول!A:B,2,FALSE)</f>
        <v>Research Methodology</v>
      </c>
      <c r="D164">
        <f>VLOOKUP(B164,الجدول!A:E,5,FALSE)</f>
        <v>3</v>
      </c>
      <c r="E164" t="str">
        <f>VLOOKUP(B164,الجدول!A:D,4,FALSE)</f>
        <v>أ. فرج الجارح</v>
      </c>
      <c r="F164" t="str">
        <f>VLOOKUP(B164,الجدول!A:D,3,FALSE)</f>
        <v>الخميس 11:00</v>
      </c>
    </row>
    <row r="165" spans="1:6" x14ac:dyDescent="0.35">
      <c r="A165">
        <v>6073</v>
      </c>
      <c r="B165">
        <v>2704</v>
      </c>
      <c r="C165" s="4" t="str">
        <f>VLOOKUP(B165,الجدول!A:B,2,FALSE)</f>
        <v>Semantics</v>
      </c>
      <c r="D165">
        <f>VLOOKUP(B165,الجدول!A:E,5,FALSE)</f>
        <v>3</v>
      </c>
      <c r="E165" t="str">
        <f>VLOOKUP(B165,الجدول!A:D,4,FALSE)</f>
        <v>أ. الشريف الملاح</v>
      </c>
      <c r="F165" t="str">
        <f>VLOOKUP(B165,الجدول!A:D,3,FALSE)</f>
        <v>الأحد 11:00</v>
      </c>
    </row>
    <row r="166" spans="1:6" x14ac:dyDescent="0.35">
      <c r="A166">
        <v>6073</v>
      </c>
      <c r="B166">
        <v>2811</v>
      </c>
      <c r="C166" s="4" t="str">
        <f>VLOOKUP(B166,الجدول!A:B,2,FALSE)</f>
        <v>Translation Theories and Practice</v>
      </c>
      <c r="D166">
        <f>VLOOKUP(B166,الجدول!A:E,5,FALSE)</f>
        <v>3</v>
      </c>
      <c r="E166" t="str">
        <f>VLOOKUP(B166,الجدول!A:D,4,FALSE)</f>
        <v>أ. علي اغنيوه</v>
      </c>
      <c r="F166" t="str">
        <f>VLOOKUP(B166,الجدول!A:D,3,FALSE)</f>
        <v>السبت 11:00</v>
      </c>
    </row>
    <row r="167" spans="1:6" x14ac:dyDescent="0.35">
      <c r="A167">
        <v>6133</v>
      </c>
      <c r="B167">
        <v>2402</v>
      </c>
      <c r="C167" s="4" t="str">
        <f>VLOOKUP(B167,الجدول!A:B,2,FALSE)</f>
        <v>Reading Comprehension C</v>
      </c>
      <c r="D167">
        <f>VLOOKUP(B167,الجدول!A:E,5,FALSE)</f>
        <v>3</v>
      </c>
      <c r="E167" t="str">
        <f>VLOOKUP(B167,الجدول!A:D,4,FALSE)</f>
        <v>أ. يونس مصطفى</v>
      </c>
      <c r="F167" t="str">
        <f>VLOOKUP(B167,الجدول!A:D,3,FALSE)</f>
        <v>الإثنين 01:00</v>
      </c>
    </row>
    <row r="168" spans="1:6" x14ac:dyDescent="0.35">
      <c r="A168">
        <v>6133</v>
      </c>
      <c r="B168">
        <v>2313</v>
      </c>
      <c r="C168" s="4" t="str">
        <f>VLOOKUP(B168,الجدول!A:B,2,FALSE)</f>
        <v>Academic Writing</v>
      </c>
      <c r="D168">
        <f>VLOOKUP(B168,الجدول!A:E,5,FALSE)</f>
        <v>4</v>
      </c>
      <c r="E168" t="str">
        <f>VLOOKUP(B168,الجدول!A:D,4,FALSE)</f>
        <v>د. عبدالسلام الرقاص</v>
      </c>
      <c r="F168" t="str">
        <f>VLOOKUP(B168,الجدول!A:D,3,FALSE)</f>
        <v>الإربعاء 11:00</v>
      </c>
    </row>
    <row r="169" spans="1:6" x14ac:dyDescent="0.35">
      <c r="A169">
        <v>6133</v>
      </c>
      <c r="B169">
        <v>2515</v>
      </c>
      <c r="C169" s="4" t="str">
        <f>VLOOKUP(B169,الجدول!A:B,2,FALSE)</f>
        <v>Psycho. Linguistics</v>
      </c>
      <c r="D169">
        <f>VLOOKUP(B169,الجدول!A:E,5,FALSE)</f>
        <v>3</v>
      </c>
      <c r="E169" t="str">
        <f>VLOOKUP(B169,الجدول!A:D,4,FALSE)</f>
        <v>أ. خديجة العشيبي</v>
      </c>
      <c r="F169" t="str">
        <f>VLOOKUP(B169,الجدول!A:D,3,FALSE)</f>
        <v>السبت 11:00</v>
      </c>
    </row>
    <row r="170" spans="1:6" x14ac:dyDescent="0.35">
      <c r="A170">
        <v>6133</v>
      </c>
      <c r="B170">
        <v>2614</v>
      </c>
      <c r="C170" s="4" t="str">
        <f>VLOOKUP(B170,الجدول!A:B,2,FALSE)</f>
        <v>Lexicography</v>
      </c>
      <c r="D170">
        <f>VLOOKUP(B170,الجدول!A:E,5,FALSE)</f>
        <v>3</v>
      </c>
      <c r="E170" t="str">
        <f>VLOOKUP(B170,الجدول!A:D,4,FALSE)</f>
        <v>أ.  فرج مالك</v>
      </c>
      <c r="F170" t="str">
        <f>VLOOKUP(B170,الجدول!A:D,3,FALSE)</f>
        <v>السبت 09:00</v>
      </c>
    </row>
    <row r="171" spans="1:6" x14ac:dyDescent="0.35">
      <c r="A171">
        <v>6133</v>
      </c>
      <c r="B171">
        <v>2603</v>
      </c>
      <c r="C171" s="4" t="str">
        <f>VLOOKUP(B171,الجدول!A:B,2,FALSE)</f>
        <v>Introduction to ESP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01:00</v>
      </c>
    </row>
    <row r="172" spans="1:6" x14ac:dyDescent="0.35">
      <c r="A172">
        <v>7000</v>
      </c>
      <c r="B172">
        <v>2401</v>
      </c>
      <c r="C172" s="4" t="str">
        <f>VLOOKUP(B172,الجدول!A:B,2,FALSE)</f>
        <v>Literary Readings A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01:00</v>
      </c>
    </row>
    <row r="173" spans="1:6" x14ac:dyDescent="0.35">
      <c r="A173">
        <v>7000</v>
      </c>
      <c r="B173">
        <v>2512</v>
      </c>
      <c r="C173" s="4" t="str">
        <f>VLOOKUP(B173,الجدول!A:B,2,FALSE)</f>
        <v>Phonetics and Phonology</v>
      </c>
      <c r="D173">
        <f>VLOOKUP(B173,الجدول!A:E,5,FALSE)</f>
        <v>3</v>
      </c>
      <c r="E173" t="str">
        <f>VLOOKUP(B173,الجدول!A:D,4,FALSE)</f>
        <v>أ. الشريف الملاح</v>
      </c>
      <c r="F173" t="str">
        <f>VLOOKUP(B173,الجدول!A:D,3,FALSE)</f>
        <v>الخميس 09:00</v>
      </c>
    </row>
    <row r="174" spans="1:6" x14ac:dyDescent="0.35">
      <c r="A174">
        <v>7000</v>
      </c>
      <c r="B174">
        <v>2513</v>
      </c>
      <c r="C174" s="4" t="str">
        <f>VLOOKUP(B174,الجدول!A:B,2,FALSE)</f>
        <v>Language Acquisition</v>
      </c>
      <c r="D174">
        <f>VLOOKUP(B174,الجدول!A:E,5,FALSE)</f>
        <v>4</v>
      </c>
      <c r="E174" t="str">
        <f>VLOOKUP(B174,الجدول!A:D,4,FALSE)</f>
        <v>أ. آية ثابت</v>
      </c>
      <c r="F174" t="str">
        <f>VLOOKUP(B174,الجدول!A:D,3,FALSE)</f>
        <v>الخميس 11:00</v>
      </c>
    </row>
    <row r="175" spans="1:6" x14ac:dyDescent="0.35">
      <c r="A175">
        <v>7000</v>
      </c>
      <c r="B175">
        <v>2514</v>
      </c>
      <c r="C175" s="4" t="str">
        <f>VLOOKUP(B175,الجدول!A:B,2,FALSE)</f>
        <v>English / Arabic Translation</v>
      </c>
      <c r="D175">
        <f>VLOOKUP(B175,الجدول!A:E,5,FALSE)</f>
        <v>3</v>
      </c>
      <c r="E175" t="str">
        <f>VLOOKUP(B175,الجدول!A:D,4,FALSE)</f>
        <v>أ. علي اغنيوه</v>
      </c>
      <c r="F175" t="str">
        <f>VLOOKUP(B175,الجدول!A:D,3,FALSE)</f>
        <v>السبت 09:00</v>
      </c>
    </row>
    <row r="176" spans="1:6" x14ac:dyDescent="0.35">
      <c r="A176">
        <v>7000</v>
      </c>
      <c r="B176">
        <v>2515</v>
      </c>
      <c r="C176" s="4" t="str">
        <f>VLOOKUP(B176,الجدول!A:B,2,FALSE)</f>
        <v>Psycho. Linguistics</v>
      </c>
      <c r="D176">
        <f>VLOOKUP(B176,الجدول!A:E,5,FALSE)</f>
        <v>3</v>
      </c>
      <c r="E176" t="str">
        <f>VLOOKUP(B176,الجدول!A:D,4,FALSE)</f>
        <v>أ. خديجة العشيبي</v>
      </c>
      <c r="F176" t="str">
        <f>VLOOKUP(B176,الجدول!A:D,3,FALSE)</f>
        <v>السبت 11:00</v>
      </c>
    </row>
    <row r="177" spans="1:6" x14ac:dyDescent="0.35">
      <c r="A177">
        <v>7004</v>
      </c>
      <c r="B177">
        <v>2401</v>
      </c>
      <c r="C177" s="4" t="str">
        <f>VLOOKUP(B177,الجدول!A:B,2,FALSE)</f>
        <v>Literary Readings A</v>
      </c>
      <c r="D177">
        <f>VLOOKUP(B177,الجدول!A:E,5,FALSE)</f>
        <v>3</v>
      </c>
      <c r="E177" t="str">
        <f>VLOOKUP(B177,الجدول!A:D,4,FALSE)</f>
        <v>أ.  فرج مالك</v>
      </c>
      <c r="F177" t="str">
        <f>VLOOKUP(B177,الجدول!A:D,3,FALSE)</f>
        <v>السبت 01:00</v>
      </c>
    </row>
    <row r="178" spans="1:6" x14ac:dyDescent="0.35">
      <c r="A178">
        <v>7004</v>
      </c>
      <c r="B178">
        <v>2512</v>
      </c>
      <c r="C178" s="4" t="str">
        <f>VLOOKUP(B178,الجدول!A:B,2,FALSE)</f>
        <v>Phonetics and Phonology</v>
      </c>
      <c r="D178">
        <f>VLOOKUP(B178,الجدول!A:E,5,FALSE)</f>
        <v>3</v>
      </c>
      <c r="E178" t="str">
        <f>VLOOKUP(B178,الجدول!A:D,4,FALSE)</f>
        <v>أ. الشريف الملاح</v>
      </c>
      <c r="F178" t="str">
        <f>VLOOKUP(B178,الجدول!A:D,3,FALSE)</f>
        <v>الخميس 09:00</v>
      </c>
    </row>
    <row r="179" spans="1:6" x14ac:dyDescent="0.35">
      <c r="A179">
        <v>7004</v>
      </c>
      <c r="B179">
        <v>2513</v>
      </c>
      <c r="C179" s="4" t="str">
        <f>VLOOKUP(B179,الجدول!A:B,2,FALSE)</f>
        <v>Language Acquisition</v>
      </c>
      <c r="D179">
        <f>VLOOKUP(B179,الجدول!A:E,5,FALSE)</f>
        <v>4</v>
      </c>
      <c r="E179" t="str">
        <f>VLOOKUP(B179,الجدول!A:D,4,FALSE)</f>
        <v>أ. آية ثابت</v>
      </c>
      <c r="F179" t="str">
        <f>VLOOKUP(B179,الجدول!A:D,3,FALSE)</f>
        <v>الخميس 11:00</v>
      </c>
    </row>
    <row r="180" spans="1:6" x14ac:dyDescent="0.35">
      <c r="A180">
        <v>7004</v>
      </c>
      <c r="B180">
        <v>2514</v>
      </c>
      <c r="C180" s="4" t="str">
        <f>VLOOKUP(B180,الجدول!A:B,2,FALSE)</f>
        <v>English / Arabic Translation</v>
      </c>
      <c r="D180">
        <f>VLOOKUP(B180,الجدول!A:E,5,FALSE)</f>
        <v>3</v>
      </c>
      <c r="E180" t="str">
        <f>VLOOKUP(B180,الجدول!A:D,4,FALSE)</f>
        <v>أ. علي اغنيوه</v>
      </c>
      <c r="F180" t="str">
        <f>VLOOKUP(B180,الجدول!A:D,3,FALSE)</f>
        <v>السبت 09:00</v>
      </c>
    </row>
    <row r="181" spans="1:6" x14ac:dyDescent="0.35">
      <c r="A181">
        <v>7004</v>
      </c>
      <c r="B181">
        <v>2515</v>
      </c>
      <c r="C181" s="4" t="str">
        <f>VLOOKUP(B181,الجدول!A:B,2,FALSE)</f>
        <v>Psycho. Linguistics</v>
      </c>
      <c r="D181">
        <f>VLOOKUP(B181,الجدول!A:E,5,FALSE)</f>
        <v>3</v>
      </c>
      <c r="E181" t="str">
        <f>VLOOKUP(B181,الجدول!A:D,4,FALSE)</f>
        <v>أ. خديجة العشيبي</v>
      </c>
      <c r="F181" t="str">
        <f>VLOOKUP(B181,الجدول!A:D,3,FALSE)</f>
        <v>السبت 11:00</v>
      </c>
    </row>
    <row r="182" spans="1:6" x14ac:dyDescent="0.35">
      <c r="A182">
        <v>7007</v>
      </c>
      <c r="B182">
        <v>2401</v>
      </c>
      <c r="C182" s="4" t="str">
        <f>VLOOKUP(B182,الجدول!A:B,2,FALSE)</f>
        <v>Literary Readings A</v>
      </c>
      <c r="D182">
        <f>VLOOKUP(B182,الجدول!A:E,5,FALSE)</f>
        <v>3</v>
      </c>
      <c r="E182" t="str">
        <f>VLOOKUP(B182,الجدول!A:D,4,FALSE)</f>
        <v>أ.  فرج مالك</v>
      </c>
      <c r="F182" t="str">
        <f>VLOOKUP(B182,الجدول!A:D,3,FALSE)</f>
        <v>السبت 01:00</v>
      </c>
    </row>
    <row r="183" spans="1:6" x14ac:dyDescent="0.35">
      <c r="A183">
        <v>7007</v>
      </c>
      <c r="B183">
        <v>2512</v>
      </c>
      <c r="C183" s="4" t="str">
        <f>VLOOKUP(B183,الجدول!A:B,2,FALSE)</f>
        <v>Phonetics and Phonology</v>
      </c>
      <c r="D183">
        <f>VLOOKUP(B183,الجدول!A:E,5,FALSE)</f>
        <v>3</v>
      </c>
      <c r="E183" t="str">
        <f>VLOOKUP(B183,الجدول!A:D,4,FALSE)</f>
        <v>أ. الشريف الملاح</v>
      </c>
      <c r="F183" t="str">
        <f>VLOOKUP(B183,الجدول!A:D,3,FALSE)</f>
        <v>الخميس 09:00</v>
      </c>
    </row>
    <row r="184" spans="1:6" x14ac:dyDescent="0.35">
      <c r="A184">
        <v>7007</v>
      </c>
      <c r="B184">
        <v>2513</v>
      </c>
      <c r="C184" s="4" t="str">
        <f>VLOOKUP(B184,الجدول!A:B,2,FALSE)</f>
        <v>Language Acquisition</v>
      </c>
      <c r="D184">
        <f>VLOOKUP(B184,الجدول!A:E,5,FALSE)</f>
        <v>4</v>
      </c>
      <c r="E184" t="str">
        <f>VLOOKUP(B184,الجدول!A:D,4,FALSE)</f>
        <v>أ. آية ثابت</v>
      </c>
      <c r="F184" t="str">
        <f>VLOOKUP(B184,الجدول!A:D,3,FALSE)</f>
        <v>الخميس 11:00</v>
      </c>
    </row>
    <row r="185" spans="1:6" x14ac:dyDescent="0.35">
      <c r="A185">
        <v>7007</v>
      </c>
      <c r="B185">
        <v>2514</v>
      </c>
      <c r="C185" s="4" t="str">
        <f>VLOOKUP(B185,الجدول!A:B,2,FALSE)</f>
        <v>English / Arabic Translation</v>
      </c>
      <c r="D185">
        <f>VLOOKUP(B185,الجدول!A:E,5,FALSE)</f>
        <v>3</v>
      </c>
      <c r="E185" t="str">
        <f>VLOOKUP(B185,الجدول!A:D,4,FALSE)</f>
        <v>أ. علي اغنيوه</v>
      </c>
      <c r="F185" t="str">
        <f>VLOOKUP(B185,الجدول!A:D,3,FALSE)</f>
        <v>السبت 09:00</v>
      </c>
    </row>
    <row r="186" spans="1:6" x14ac:dyDescent="0.35">
      <c r="A186">
        <v>7007</v>
      </c>
      <c r="B186">
        <v>2515</v>
      </c>
      <c r="C186" s="4" t="str">
        <f>VLOOKUP(B186,الجدول!A:B,2,FALSE)</f>
        <v>Psycho. Linguistics</v>
      </c>
      <c r="D186">
        <f>VLOOKUP(B186,الجدول!A:E,5,FALSE)</f>
        <v>3</v>
      </c>
      <c r="E186" t="str">
        <f>VLOOKUP(B186,الجدول!A:D,4,FALSE)</f>
        <v>أ. خديجة العشيبي</v>
      </c>
      <c r="F186" t="str">
        <f>VLOOKUP(B186,الجدول!A:D,3,FALSE)</f>
        <v>السبت 11:00</v>
      </c>
    </row>
    <row r="187" spans="1:6" x14ac:dyDescent="0.35">
      <c r="A187">
        <v>7009</v>
      </c>
      <c r="B187">
        <v>2401</v>
      </c>
      <c r="C187" s="4" t="str">
        <f>VLOOKUP(B187,الجدول!A:B,2,FALSE)</f>
        <v>Literary Readings A</v>
      </c>
      <c r="D187">
        <f>VLOOKUP(B187,الجدول!A:E,5,FALSE)</f>
        <v>3</v>
      </c>
      <c r="E187" t="str">
        <f>VLOOKUP(B187,الجدول!A:D,4,FALSE)</f>
        <v>أ.  فرج مالك</v>
      </c>
      <c r="F187" t="str">
        <f>VLOOKUP(B187,الجدول!A:D,3,FALSE)</f>
        <v>السبت 01:00</v>
      </c>
    </row>
    <row r="188" spans="1:6" x14ac:dyDescent="0.35">
      <c r="A188">
        <v>7009</v>
      </c>
      <c r="B188">
        <v>2512</v>
      </c>
      <c r="C188" s="4" t="str">
        <f>VLOOKUP(B188,الجدول!A:B,2,FALSE)</f>
        <v>Phonetics and Phonology</v>
      </c>
      <c r="D188">
        <f>VLOOKUP(B188,الجدول!A:E,5,FALSE)</f>
        <v>3</v>
      </c>
      <c r="E188" t="str">
        <f>VLOOKUP(B188,الجدول!A:D,4,FALSE)</f>
        <v>أ. الشريف الملاح</v>
      </c>
      <c r="F188" t="str">
        <f>VLOOKUP(B188,الجدول!A:D,3,FALSE)</f>
        <v>الخميس 09:00</v>
      </c>
    </row>
    <row r="189" spans="1:6" x14ac:dyDescent="0.35">
      <c r="A189">
        <v>7009</v>
      </c>
      <c r="B189">
        <v>2515</v>
      </c>
      <c r="C189" s="4" t="str">
        <f>VLOOKUP(B189,الجدول!A:B,2,FALSE)</f>
        <v>Psycho. Linguistics</v>
      </c>
      <c r="D189">
        <f>VLOOKUP(B189,الجدول!A:E,5,FALSE)</f>
        <v>3</v>
      </c>
      <c r="E189" t="str">
        <f>VLOOKUP(B189,الجدول!A:D,4,FALSE)</f>
        <v>أ. خديجة العشيبي</v>
      </c>
      <c r="F189" t="str">
        <f>VLOOKUP(B189,الجدول!A:D,3,FALSE)</f>
        <v>السبت 11:00</v>
      </c>
    </row>
    <row r="190" spans="1:6" x14ac:dyDescent="0.35">
      <c r="A190">
        <v>7009</v>
      </c>
      <c r="B190">
        <v>2704</v>
      </c>
      <c r="C190" s="4" t="str">
        <f>VLOOKUP(B190,الجدول!A:B,2,FALSE)</f>
        <v>Semantics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الأحد 11:00</v>
      </c>
    </row>
    <row r="191" spans="1:6" x14ac:dyDescent="0.35">
      <c r="A191">
        <v>7009</v>
      </c>
      <c r="B191">
        <v>2614</v>
      </c>
      <c r="C191" s="4" t="str">
        <f>VLOOKUP(B191,الجدول!A:B,2,FALSE)</f>
        <v>Lexicography</v>
      </c>
      <c r="D191">
        <f>VLOOKUP(B191,الجدول!A:E,5,FALSE)</f>
        <v>3</v>
      </c>
      <c r="E191" t="str">
        <f>VLOOKUP(B191,الجدول!A:D,4,FALSE)</f>
        <v>أ.  فرج مالك</v>
      </c>
      <c r="F191" t="str">
        <f>VLOOKUP(B191,الجدول!A:D,3,FALSE)</f>
        <v>السبت 09:00</v>
      </c>
    </row>
    <row r="192" spans="1:6" x14ac:dyDescent="0.35">
      <c r="A192">
        <v>7011</v>
      </c>
      <c r="B192">
        <v>10101</v>
      </c>
      <c r="C192" s="4" t="str">
        <f>VLOOKUP(B192,الجدول!A:B,2,FALSE)</f>
        <v>علم النفس العام</v>
      </c>
      <c r="D192">
        <f>VLOOKUP(B192,الجدول!A:E,5,FALSE)</f>
        <v>3</v>
      </c>
      <c r="E192">
        <f>VLOOKUP(B192,الجدول!A:D,4,FALSE)</f>
        <v>0</v>
      </c>
      <c r="F192" t="str">
        <f>VLOOKUP(B192,الجدول!A:D,3,FALSE)</f>
        <v>الأحد 11:00</v>
      </c>
    </row>
    <row r="193" spans="1:6" x14ac:dyDescent="0.35">
      <c r="A193">
        <v>7011</v>
      </c>
      <c r="B193">
        <v>2401</v>
      </c>
      <c r="C193" s="4" t="str">
        <f>VLOOKUP(B193,الجدول!A:B,2,FALSE)</f>
        <v>Literary Readings A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01:00</v>
      </c>
    </row>
    <row r="194" spans="1:6" x14ac:dyDescent="0.35">
      <c r="A194">
        <v>7011</v>
      </c>
      <c r="B194">
        <v>2512</v>
      </c>
      <c r="C194" s="4" t="str">
        <f>VLOOKUP(B194,الجدول!A:B,2,FALSE)</f>
        <v>Phonetics and Phonology</v>
      </c>
      <c r="D194">
        <f>VLOOKUP(B194,الجدول!A:E,5,FALSE)</f>
        <v>3</v>
      </c>
      <c r="E194" t="str">
        <f>VLOOKUP(B194,الجدول!A:D,4,FALSE)</f>
        <v>أ. الشريف الملاح</v>
      </c>
      <c r="F194" t="str">
        <f>VLOOKUP(B194,الجدول!A:D,3,FALSE)</f>
        <v>الخميس 09:00</v>
      </c>
    </row>
    <row r="195" spans="1:6" x14ac:dyDescent="0.35">
      <c r="A195">
        <v>7011</v>
      </c>
      <c r="B195">
        <v>2513</v>
      </c>
      <c r="C195" s="4" t="str">
        <f>VLOOKUP(B195,الجدول!A:B,2,FALSE)</f>
        <v>Language Acquisition</v>
      </c>
      <c r="D195">
        <f>VLOOKUP(B195,الجدول!A:E,5,FALSE)</f>
        <v>4</v>
      </c>
      <c r="E195" t="str">
        <f>VLOOKUP(B195,الجدول!A:D,4,FALSE)</f>
        <v>أ. آية ثابت</v>
      </c>
      <c r="F195" t="str">
        <f>VLOOKUP(B195,الجدول!A:D,3,FALSE)</f>
        <v>الخميس 11:00</v>
      </c>
    </row>
    <row r="196" spans="1:6" x14ac:dyDescent="0.35">
      <c r="A196">
        <v>7011</v>
      </c>
      <c r="B196">
        <v>2514</v>
      </c>
      <c r="C196" s="4" t="str">
        <f>VLOOKUP(B196,الجدول!A:B,2,FALSE)</f>
        <v>English / Arabic Translation</v>
      </c>
      <c r="D196">
        <f>VLOOKUP(B196,الجدول!A:E,5,FALSE)</f>
        <v>3</v>
      </c>
      <c r="E196" t="str">
        <f>VLOOKUP(B196,الجدول!A:D,4,FALSE)</f>
        <v>أ. علي اغنيوه</v>
      </c>
      <c r="F196" t="str">
        <f>VLOOKUP(B196,الجدول!A:D,3,FALSE)</f>
        <v>السبت 09:00</v>
      </c>
    </row>
    <row r="197" spans="1:6" x14ac:dyDescent="0.35">
      <c r="A197">
        <v>7012</v>
      </c>
      <c r="B197">
        <v>2401</v>
      </c>
      <c r="C197" s="4" t="str">
        <f>VLOOKUP(B197,الجدول!A:B,2,FALSE)</f>
        <v>Literary Readings A</v>
      </c>
      <c r="D197">
        <f>VLOOKUP(B197,الجدول!A:E,5,FALSE)</f>
        <v>3</v>
      </c>
      <c r="E197" t="str">
        <f>VLOOKUP(B197,الجدول!A:D,4,FALSE)</f>
        <v>أ.  فرج مالك</v>
      </c>
      <c r="F197" t="str">
        <f>VLOOKUP(B197,الجدول!A:D,3,FALSE)</f>
        <v>السبت 01:00</v>
      </c>
    </row>
    <row r="198" spans="1:6" x14ac:dyDescent="0.35">
      <c r="A198">
        <v>7012</v>
      </c>
      <c r="B198">
        <v>2512</v>
      </c>
      <c r="C198" s="4" t="str">
        <f>VLOOKUP(B198,الجدول!A:B,2,FALSE)</f>
        <v>Phonetics and Phonology</v>
      </c>
      <c r="D198">
        <f>VLOOKUP(B198,الجدول!A:E,5,FALSE)</f>
        <v>3</v>
      </c>
      <c r="E198" t="str">
        <f>VLOOKUP(B198,الجدول!A:D,4,FALSE)</f>
        <v>أ. الشريف الملاح</v>
      </c>
      <c r="F198" t="str">
        <f>VLOOKUP(B198,الجدول!A:D,3,FALSE)</f>
        <v>الخميس 09:00</v>
      </c>
    </row>
    <row r="199" spans="1:6" x14ac:dyDescent="0.35">
      <c r="A199">
        <v>7012</v>
      </c>
      <c r="B199">
        <v>2514</v>
      </c>
      <c r="C199" s="4" t="str">
        <f>VLOOKUP(B199,الجدول!A:B,2,FALSE)</f>
        <v>English / Arabic Translation</v>
      </c>
      <c r="D199">
        <f>VLOOKUP(B199,الجدول!A:E,5,FALSE)</f>
        <v>3</v>
      </c>
      <c r="E199" t="str">
        <f>VLOOKUP(B199,الجدول!A:D,4,FALSE)</f>
        <v>أ. علي اغنيوه</v>
      </c>
      <c r="F199" t="str">
        <f>VLOOKUP(B199,الجدول!A:D,3,FALSE)</f>
        <v>السبت 09:00</v>
      </c>
    </row>
    <row r="200" spans="1:6" x14ac:dyDescent="0.35">
      <c r="A200">
        <v>7012</v>
      </c>
      <c r="B200">
        <v>2515</v>
      </c>
      <c r="C200" s="4" t="str">
        <f>VLOOKUP(B200,الجدول!A:B,2,FALSE)</f>
        <v>Psycho. Linguistics</v>
      </c>
      <c r="D200">
        <f>VLOOKUP(B200,الجدول!A:E,5,FALSE)</f>
        <v>3</v>
      </c>
      <c r="E200" t="str">
        <f>VLOOKUP(B200,الجدول!A:D,4,FALSE)</f>
        <v>أ. خديجة العشيبي</v>
      </c>
      <c r="F200" t="str">
        <f>VLOOKUP(B200,الجدول!A:D,3,FALSE)</f>
        <v>السبت 11:00</v>
      </c>
    </row>
    <row r="201" spans="1:6" x14ac:dyDescent="0.35">
      <c r="A201">
        <v>7012</v>
      </c>
      <c r="B201">
        <v>2704</v>
      </c>
      <c r="C201" s="4" t="str">
        <f>VLOOKUP(B201,الجدول!A:B,2,FALSE)</f>
        <v>Semantics</v>
      </c>
      <c r="D201">
        <f>VLOOKUP(B201,الجدول!A:E,5,FALSE)</f>
        <v>3</v>
      </c>
      <c r="E201" t="str">
        <f>VLOOKUP(B201,الجدول!A:D,4,FALSE)</f>
        <v>أ. الشريف الملاح</v>
      </c>
      <c r="F201" t="str">
        <f>VLOOKUP(B201,الجدول!A:D,3,FALSE)</f>
        <v>الأحد 11:00</v>
      </c>
    </row>
    <row r="202" spans="1:6" x14ac:dyDescent="0.35">
      <c r="A202">
        <v>7013</v>
      </c>
      <c r="B202">
        <v>1102</v>
      </c>
      <c r="C202" s="4" t="str">
        <f>VLOOKUP(B202,الجدول!A:B,2,FALSE)</f>
        <v>التطبيقات اللغوية</v>
      </c>
      <c r="D202">
        <f>VLOOKUP(B202,الجدول!A:E,5,FALSE)</f>
        <v>3</v>
      </c>
      <c r="E202">
        <f>VLOOKUP(B202,الجدول!A:D,4,FALSE)</f>
        <v>0</v>
      </c>
      <c r="F202" t="str">
        <f>VLOOKUP(B202,الجدول!A:D,3,FALSE)</f>
        <v>الثلاثاء 09:00</v>
      </c>
    </row>
    <row r="203" spans="1:6" x14ac:dyDescent="0.35">
      <c r="A203">
        <v>7013</v>
      </c>
      <c r="B203">
        <v>2311</v>
      </c>
      <c r="C203" s="4" t="str">
        <f>VLOOKUP(B203,الجدول!A:B,2,FALSE)</f>
        <v>Listening and Speaking C</v>
      </c>
      <c r="D203">
        <f>VLOOKUP(B203,الجدول!A:E,5,FALSE)</f>
        <v>4</v>
      </c>
      <c r="E203" t="str">
        <f>VLOOKUP(B203,الجدول!A:D,4,FALSE)</f>
        <v>أ. آية ثابت</v>
      </c>
      <c r="F203" t="str">
        <f>VLOOKUP(B203,الجدول!A:D,3,FALSE)</f>
        <v>الخميس 09:00</v>
      </c>
    </row>
    <row r="204" spans="1:6" x14ac:dyDescent="0.35">
      <c r="A204">
        <v>7013</v>
      </c>
      <c r="B204">
        <v>2402</v>
      </c>
      <c r="C204" s="4" t="str">
        <f>VLOOKUP(B204,الجدول!A:B,2,FALSE)</f>
        <v>Reading Comprehension C</v>
      </c>
      <c r="D204">
        <f>VLOOKUP(B204,الجدول!A:E,5,FALSE)</f>
        <v>3</v>
      </c>
      <c r="E204" t="str">
        <f>VLOOKUP(B204,الجدول!A:D,4,FALSE)</f>
        <v>أ. يونس مصطفى</v>
      </c>
      <c r="F204" t="str">
        <f>VLOOKUP(B204,الجدول!A:D,3,FALSE)</f>
        <v>الإثنين 01:00</v>
      </c>
    </row>
    <row r="205" spans="1:6" x14ac:dyDescent="0.35">
      <c r="A205">
        <v>7013</v>
      </c>
      <c r="B205">
        <v>2504</v>
      </c>
      <c r="C205" s="4" t="str">
        <f>VLOOKUP(B205,الجدول!A:B,2,FALSE)</f>
        <v>English Grammar C</v>
      </c>
      <c r="D205">
        <f>VLOOKUP(B205,الجدول!A:E,5,FALSE)</f>
        <v>3</v>
      </c>
      <c r="E205" t="str">
        <f>VLOOKUP(B205,الجدول!A:D,4,FALSE)</f>
        <v>أ. أسامة سعد</v>
      </c>
      <c r="F205" t="str">
        <f>VLOOKUP(B205,الجدول!A:D,3,FALSE)</f>
        <v>الإثنين 09:00</v>
      </c>
    </row>
    <row r="206" spans="1:6" x14ac:dyDescent="0.35">
      <c r="A206">
        <v>7013</v>
      </c>
      <c r="B206">
        <v>2301</v>
      </c>
      <c r="C206" s="4" t="str">
        <f>VLOOKUP(B206,الجدول!A:B,2,FALSE)</f>
        <v>Introduction to Linguistics</v>
      </c>
      <c r="D206">
        <f>VLOOKUP(B206,الجدول!A:E,5,FALSE)</f>
        <v>4</v>
      </c>
      <c r="E206" t="str">
        <f>VLOOKUP(B206,الجدول!A:D,4,FALSE)</f>
        <v>أ. الشريف الملاح</v>
      </c>
      <c r="F206" t="str">
        <f>VLOOKUP(B206,الجدول!A:D,3,FALSE)</f>
        <v>الأحد 09:00</v>
      </c>
    </row>
    <row r="207" spans="1:6" x14ac:dyDescent="0.35">
      <c r="A207">
        <v>7058</v>
      </c>
      <c r="B207">
        <v>2515</v>
      </c>
      <c r="C207" s="4" t="str">
        <f>VLOOKUP(B207,الجدول!A:B,2,FALSE)</f>
        <v>Psycho. Linguistics</v>
      </c>
      <c r="D207">
        <f>VLOOKUP(B207,الجدول!A:E,5,FALSE)</f>
        <v>3</v>
      </c>
      <c r="E207" t="str">
        <f>VLOOKUP(B207,الجدول!A:D,4,FALSE)</f>
        <v>أ. خديجة العشيبي</v>
      </c>
      <c r="F207" t="str">
        <f>VLOOKUP(B207,الجدول!A:D,3,FALSE)</f>
        <v>السبت 11:00</v>
      </c>
    </row>
    <row r="208" spans="1:6" x14ac:dyDescent="0.35">
      <c r="A208">
        <v>7058</v>
      </c>
      <c r="B208">
        <v>10101</v>
      </c>
      <c r="C208" s="4" t="str">
        <f>VLOOKUP(B208,الجدول!A:B,2,FALSE)</f>
        <v>علم النفس العام</v>
      </c>
      <c r="D208">
        <f>VLOOKUP(B208,الجدول!A:E,5,FALSE)</f>
        <v>3</v>
      </c>
      <c r="E208">
        <f>VLOOKUP(B208,الجدول!A:D,4,FALSE)</f>
        <v>0</v>
      </c>
      <c r="F208" t="str">
        <f>VLOOKUP(B208,الجدول!A:D,3,FALSE)</f>
        <v>الأحد 11:00</v>
      </c>
    </row>
    <row r="209" spans="1:6" x14ac:dyDescent="0.35">
      <c r="A209">
        <v>7058</v>
      </c>
      <c r="B209">
        <v>2401</v>
      </c>
      <c r="C209" s="4" t="str">
        <f>VLOOKUP(B209,الجدول!A:B,2,FALSE)</f>
        <v>Literary Readings A</v>
      </c>
      <c r="D209">
        <f>VLOOKUP(B209,الجدول!A:E,5,FALSE)</f>
        <v>3</v>
      </c>
      <c r="E209" t="str">
        <f>VLOOKUP(B209,الجدول!A:D,4,FALSE)</f>
        <v>أ.  فرج مالك</v>
      </c>
      <c r="F209" t="str">
        <f>VLOOKUP(B209,الجدول!A:D,3,FALSE)</f>
        <v>السبت 01:00</v>
      </c>
    </row>
    <row r="210" spans="1:6" x14ac:dyDescent="0.35">
      <c r="A210">
        <v>7058</v>
      </c>
      <c r="B210">
        <v>2512</v>
      </c>
      <c r="C210" s="4" t="str">
        <f>VLOOKUP(B210,الجدول!A:B,2,FALSE)</f>
        <v>Phonetics and Phonology</v>
      </c>
      <c r="D210">
        <f>VLOOKUP(B210,الجدول!A:E,5,FALSE)</f>
        <v>3</v>
      </c>
      <c r="E210" t="str">
        <f>VLOOKUP(B210,الجدول!A:D,4,FALSE)</f>
        <v>أ. الشريف الملاح</v>
      </c>
      <c r="F210" t="str">
        <f>VLOOKUP(B210,الجدول!A:D,3,FALSE)</f>
        <v>الخميس 09:00</v>
      </c>
    </row>
    <row r="211" spans="1:6" x14ac:dyDescent="0.35">
      <c r="A211">
        <v>7058</v>
      </c>
      <c r="B211">
        <v>2513</v>
      </c>
      <c r="C211" s="4" t="str">
        <f>VLOOKUP(B211,الجدول!A:B,2,FALSE)</f>
        <v>Language Acquisition</v>
      </c>
      <c r="D211">
        <f>VLOOKUP(B211,الجدول!A:E,5,FALSE)</f>
        <v>4</v>
      </c>
      <c r="E211" t="str">
        <f>VLOOKUP(B211,الجدول!A:D,4,FALSE)</f>
        <v>أ. آية ثابت</v>
      </c>
      <c r="F211" t="str">
        <f>VLOOKUP(B211,الجدول!A:D,3,FALSE)</f>
        <v>الخميس 11:00</v>
      </c>
    </row>
    <row r="212" spans="1:6" x14ac:dyDescent="0.35">
      <c r="A212">
        <v>7060</v>
      </c>
      <c r="B212">
        <v>2614</v>
      </c>
      <c r="C212" s="4" t="str">
        <f>VLOOKUP(B212,الجدول!A:B,2,FALSE)</f>
        <v>Lexicography</v>
      </c>
      <c r="D212">
        <f>VLOOKUP(B212,الجدول!A:E,5,FALSE)</f>
        <v>3</v>
      </c>
      <c r="E212" t="str">
        <f>VLOOKUP(B212,الجدول!A:D,4,FALSE)</f>
        <v>أ.  فرج مالك</v>
      </c>
      <c r="F212" t="str">
        <f>VLOOKUP(B212,الجدول!A:D,3,FALSE)</f>
        <v>السبت 09:00</v>
      </c>
    </row>
    <row r="213" spans="1:6" x14ac:dyDescent="0.35">
      <c r="A213">
        <v>7060</v>
      </c>
      <c r="B213">
        <v>2512</v>
      </c>
      <c r="C213" s="4" t="str">
        <f>VLOOKUP(B213,الجدول!A:B,2,FALSE)</f>
        <v>Phonetics and Phonology</v>
      </c>
      <c r="D213">
        <f>VLOOKUP(B213,الجدول!A:E,5,FALSE)</f>
        <v>3</v>
      </c>
      <c r="E213" t="str">
        <f>VLOOKUP(B213,الجدول!A:D,4,FALSE)</f>
        <v>أ. الشريف الملاح</v>
      </c>
      <c r="F213" t="str">
        <f>VLOOKUP(B213,الجدول!A:D,3,FALSE)</f>
        <v>الخميس 09:00</v>
      </c>
    </row>
    <row r="214" spans="1:6" x14ac:dyDescent="0.35">
      <c r="A214">
        <v>7060</v>
      </c>
      <c r="B214">
        <v>2513</v>
      </c>
      <c r="C214" s="4" t="str">
        <f>VLOOKUP(B214,الجدول!A:B,2,FALSE)</f>
        <v>Language Acquisition</v>
      </c>
      <c r="D214">
        <f>VLOOKUP(B214,الجدول!A:E,5,FALSE)</f>
        <v>4</v>
      </c>
      <c r="E214" t="str">
        <f>VLOOKUP(B214,الجدول!A:D,4,FALSE)</f>
        <v>أ. آية ثابت</v>
      </c>
      <c r="F214" t="str">
        <f>VLOOKUP(B214,الجدول!A:D,3,FALSE)</f>
        <v>الخميس 11:00</v>
      </c>
    </row>
    <row r="215" spans="1:6" x14ac:dyDescent="0.35">
      <c r="A215">
        <v>7060</v>
      </c>
      <c r="B215">
        <v>2515</v>
      </c>
      <c r="C215" s="4" t="str">
        <f>VLOOKUP(B215,الجدول!A:B,2,FALSE)</f>
        <v>Psycho. Linguistics</v>
      </c>
      <c r="D215">
        <f>VLOOKUP(B215,الجدول!A:E,5,FALSE)</f>
        <v>3</v>
      </c>
      <c r="E215" t="str">
        <f>VLOOKUP(B215,الجدول!A:D,4,FALSE)</f>
        <v>أ. خديجة العشيبي</v>
      </c>
      <c r="F215" t="str">
        <f>VLOOKUP(B215,الجدول!A:D,3,FALSE)</f>
        <v>السبت 11:00</v>
      </c>
    </row>
    <row r="216" spans="1:6" x14ac:dyDescent="0.35">
      <c r="A216">
        <v>7061</v>
      </c>
      <c r="B216">
        <v>2114</v>
      </c>
      <c r="C216" s="4" t="str">
        <f>VLOOKUP(B216,الجدول!A:B,2,FALSE)</f>
        <v>English Grammar A</v>
      </c>
      <c r="D216">
        <f>VLOOKUP(B216,الجدول!A:E,5,FALSE)</f>
        <v>3</v>
      </c>
      <c r="E216" t="str">
        <f>VLOOKUP(B216,الجدول!A:D,4,FALSE)</f>
        <v>أ. الشريف الملاح</v>
      </c>
      <c r="F216" t="str">
        <f>VLOOKUP(B216,الجدول!A:D,3,FALSE)</f>
        <v>الخميس 11:00</v>
      </c>
    </row>
    <row r="217" spans="1:6" x14ac:dyDescent="0.35">
      <c r="A217">
        <v>7061</v>
      </c>
      <c r="B217">
        <v>2303</v>
      </c>
      <c r="C217" s="4" t="str">
        <f>VLOOKUP(B217,الجدول!A:B,2,FALSE)</f>
        <v>Writing B</v>
      </c>
      <c r="D217">
        <f>VLOOKUP(B217,الجدول!A:E,5,FALSE)</f>
        <v>3</v>
      </c>
      <c r="E217" t="str">
        <f>VLOOKUP(B217,الجدول!A:D,4,FALSE)</f>
        <v>أ. خديجة العشيبي</v>
      </c>
      <c r="F217" t="str">
        <f>VLOOKUP(B217,الجدول!A:D,3,FALSE)</f>
        <v>السبت 09:00</v>
      </c>
    </row>
    <row r="218" spans="1:6" x14ac:dyDescent="0.35">
      <c r="A218">
        <v>7061</v>
      </c>
      <c r="B218">
        <v>2311</v>
      </c>
      <c r="C218" s="4" t="str">
        <f>VLOOKUP(B218,الجدول!A:B,2,FALSE)</f>
        <v>Listening and Speaking C</v>
      </c>
      <c r="D218">
        <f>VLOOKUP(B218,الجدول!A:E,5,FALSE)</f>
        <v>4</v>
      </c>
      <c r="E218" t="str">
        <f>VLOOKUP(B218,الجدول!A:D,4,FALSE)</f>
        <v>أ. آية ثابت</v>
      </c>
      <c r="F218" t="str">
        <f>VLOOKUP(B218,الجدول!A:D,3,FALSE)</f>
        <v>الخميس 09:00</v>
      </c>
    </row>
    <row r="219" spans="1:6" x14ac:dyDescent="0.35">
      <c r="A219">
        <v>7061</v>
      </c>
      <c r="B219">
        <v>2301</v>
      </c>
      <c r="C219" s="4" t="str">
        <f>VLOOKUP(B219,الجدول!A:B,2,FALSE)</f>
        <v>Introduction to Linguistics</v>
      </c>
      <c r="D219">
        <f>VLOOKUP(B219,الجدول!A:E,5,FALSE)</f>
        <v>4</v>
      </c>
      <c r="E219" t="str">
        <f>VLOOKUP(B219,الجدول!A:D,4,FALSE)</f>
        <v>أ. الشريف الملاح</v>
      </c>
      <c r="F219" t="str">
        <f>VLOOKUP(B219,الجدول!A:D,3,FALSE)</f>
        <v>الأحد 09:00</v>
      </c>
    </row>
    <row r="220" spans="1:6" x14ac:dyDescent="0.35">
      <c r="A220">
        <v>7062</v>
      </c>
      <c r="B220">
        <v>2603</v>
      </c>
      <c r="C220" s="4" t="str">
        <f>VLOOKUP(B220,الجدول!A:B,2,FALSE)</f>
        <v>Introduction to ESP</v>
      </c>
      <c r="D220">
        <f>VLOOKUP(B220,الجدول!A:E,5,FALSE)</f>
        <v>3</v>
      </c>
      <c r="E220" t="str">
        <f>VLOOKUP(B220,الجدول!A:D,4,FALSE)</f>
        <v>أ. خديجة العشيبي</v>
      </c>
      <c r="F220" t="str">
        <f>VLOOKUP(B220,الجدول!A:D,3,FALSE)</f>
        <v>السبت 01:00</v>
      </c>
    </row>
    <row r="221" spans="1:6" x14ac:dyDescent="0.35">
      <c r="A221">
        <v>7062</v>
      </c>
      <c r="B221">
        <v>2512</v>
      </c>
      <c r="C221" s="4" t="str">
        <f>VLOOKUP(B221,الجدول!A:B,2,FALSE)</f>
        <v>Phonetics and Phonology</v>
      </c>
      <c r="D221">
        <f>VLOOKUP(B221,الجدول!A:E,5,FALSE)</f>
        <v>3</v>
      </c>
      <c r="E221" t="str">
        <f>VLOOKUP(B221,الجدول!A:D,4,FALSE)</f>
        <v>أ. الشريف الملاح</v>
      </c>
      <c r="F221" t="str">
        <f>VLOOKUP(B221,الجدول!A:D,3,FALSE)</f>
        <v>الخميس 09:00</v>
      </c>
    </row>
    <row r="222" spans="1:6" x14ac:dyDescent="0.35">
      <c r="A222">
        <v>7062</v>
      </c>
      <c r="B222">
        <v>2514</v>
      </c>
      <c r="C222" s="4" t="str">
        <f>VLOOKUP(B222,الجدول!A:B,2,FALSE)</f>
        <v>English / Arabic Translation</v>
      </c>
      <c r="D222">
        <f>VLOOKUP(B222,الجدول!A:E,5,FALSE)</f>
        <v>3</v>
      </c>
      <c r="E222" t="str">
        <f>VLOOKUP(B222,الجدول!A:D,4,FALSE)</f>
        <v>أ. علي اغنيوه</v>
      </c>
      <c r="F222" t="str">
        <f>VLOOKUP(B222,الجدول!A:D,3,FALSE)</f>
        <v>السبت 09:00</v>
      </c>
    </row>
    <row r="223" spans="1:6" x14ac:dyDescent="0.35">
      <c r="A223">
        <v>7062</v>
      </c>
      <c r="B223">
        <v>2515</v>
      </c>
      <c r="C223" s="4" t="str">
        <f>VLOOKUP(B223,الجدول!A:B,2,FALSE)</f>
        <v>Psycho. Linguistics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11:00</v>
      </c>
    </row>
    <row r="224" spans="1:6" x14ac:dyDescent="0.35">
      <c r="A224">
        <v>7062</v>
      </c>
      <c r="B224">
        <v>2704</v>
      </c>
      <c r="C224" s="4" t="str">
        <f>VLOOKUP(B224,الجدول!A:B,2,FALSE)</f>
        <v>Semantics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الأحد 11:00</v>
      </c>
    </row>
    <row r="225" spans="1:6" x14ac:dyDescent="0.35">
      <c r="A225">
        <v>7063</v>
      </c>
      <c r="B225">
        <v>2311</v>
      </c>
      <c r="C225" s="4" t="str">
        <f>VLOOKUP(B225,الجدول!A:B,2,FALSE)</f>
        <v>Listening and Speaking C</v>
      </c>
      <c r="D225">
        <f>VLOOKUP(B225,الجدول!A:E,5,FALSE)</f>
        <v>4</v>
      </c>
      <c r="E225" t="str">
        <f>VLOOKUP(B225,الجدول!A:D,4,FALSE)</f>
        <v>أ. آية ثابت</v>
      </c>
      <c r="F225" t="str">
        <f>VLOOKUP(B225,الجدول!A:D,3,FALSE)</f>
        <v>الخميس 09:00</v>
      </c>
    </row>
    <row r="226" spans="1:6" x14ac:dyDescent="0.35">
      <c r="A226">
        <v>7063</v>
      </c>
      <c r="B226">
        <v>2402</v>
      </c>
      <c r="C226" s="4" t="str">
        <f>VLOOKUP(B226,الجدول!A:B,2,FALSE)</f>
        <v>Reading Comprehension C</v>
      </c>
      <c r="D226">
        <f>VLOOKUP(B226,الجدول!A:E,5,FALSE)</f>
        <v>3</v>
      </c>
      <c r="E226" t="str">
        <f>VLOOKUP(B226,الجدول!A:D,4,FALSE)</f>
        <v>أ. يونس مصطفى</v>
      </c>
      <c r="F226" t="str">
        <f>VLOOKUP(B226,الجدول!A:D,3,FALSE)</f>
        <v>الإثنين 01:00</v>
      </c>
    </row>
    <row r="227" spans="1:6" x14ac:dyDescent="0.35">
      <c r="A227">
        <v>7063</v>
      </c>
      <c r="B227">
        <v>2313</v>
      </c>
      <c r="C227" s="4" t="str">
        <f>VLOOKUP(B227,الجدول!A:B,2,FALSE)</f>
        <v>Academic Writing</v>
      </c>
      <c r="D227">
        <f>VLOOKUP(B227,الجدول!A:E,5,FALSE)</f>
        <v>4</v>
      </c>
      <c r="E227" t="str">
        <f>VLOOKUP(B227,الجدول!A:D,4,FALSE)</f>
        <v>د. عبدالسلام الرقاص</v>
      </c>
      <c r="F227" t="str">
        <f>VLOOKUP(B227,الجدول!A:D,3,FALSE)</f>
        <v>الإربعاء 11:00</v>
      </c>
    </row>
    <row r="228" spans="1:6" x14ac:dyDescent="0.35">
      <c r="A228">
        <v>7063</v>
      </c>
      <c r="B228">
        <v>2504</v>
      </c>
      <c r="C228" s="4" t="str">
        <f>VLOOKUP(B228,الجدول!A:B,2,FALSE)</f>
        <v>English Grammar C</v>
      </c>
      <c r="D228">
        <f>VLOOKUP(B228,الجدول!A:E,5,FALSE)</f>
        <v>3</v>
      </c>
      <c r="E228" t="str">
        <f>VLOOKUP(B228,الجدول!A:D,4,FALSE)</f>
        <v>أ. أسامة سعد</v>
      </c>
      <c r="F228" t="str">
        <f>VLOOKUP(B228,الجدول!A:D,3,FALSE)</f>
        <v>الإثنين 09:00</v>
      </c>
    </row>
    <row r="229" spans="1:6" x14ac:dyDescent="0.35">
      <c r="A229">
        <v>7063</v>
      </c>
      <c r="B229">
        <v>2301</v>
      </c>
      <c r="C229" s="4" t="str">
        <f>VLOOKUP(B229,الجدول!A:B,2,FALSE)</f>
        <v>Introduction to Linguistics</v>
      </c>
      <c r="D229">
        <f>VLOOKUP(B229,الجدول!A:E,5,FALSE)</f>
        <v>4</v>
      </c>
      <c r="E229" t="str">
        <f>VLOOKUP(B229,الجدول!A:D,4,FALSE)</f>
        <v>أ. الشريف الملاح</v>
      </c>
      <c r="F229" t="str">
        <f>VLOOKUP(B229,الجدول!A:D,3,FALSE)</f>
        <v>الأحد 09:00</v>
      </c>
    </row>
    <row r="230" spans="1:6" x14ac:dyDescent="0.35">
      <c r="A230">
        <v>7102</v>
      </c>
      <c r="B230">
        <v>2303</v>
      </c>
      <c r="C230" s="4" t="str">
        <f>VLOOKUP(B230,الجدول!A:B,2,FALSE)</f>
        <v>Writing B</v>
      </c>
      <c r="D230">
        <f>VLOOKUP(B230,الجدول!A:E,5,FALSE)</f>
        <v>3</v>
      </c>
      <c r="E230" t="str">
        <f>VLOOKUP(B230,الجدول!A:D,4,FALSE)</f>
        <v>أ. خديجة العشيبي</v>
      </c>
      <c r="F230" t="str">
        <f>VLOOKUP(B230,الجدول!A:D,3,FALSE)</f>
        <v>السبت 09:00</v>
      </c>
    </row>
    <row r="231" spans="1:6" x14ac:dyDescent="0.35">
      <c r="A231">
        <v>7102</v>
      </c>
      <c r="B231"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v>7102</v>
      </c>
      <c r="B232"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v>7102</v>
      </c>
      <c r="B233">
        <v>2513</v>
      </c>
      <c r="C233" s="4" t="str">
        <f>VLOOKUP(B233,الجدول!A:B,2,FALSE)</f>
        <v>Language Acquisition</v>
      </c>
      <c r="D233">
        <f>VLOOKUP(B233,الجدول!A:E,5,FALSE)</f>
        <v>4</v>
      </c>
      <c r="E233" t="str">
        <f>VLOOKUP(B233,الجدول!A:D,4,FALSE)</f>
        <v>أ. آية ثابت</v>
      </c>
      <c r="F233" t="str">
        <f>VLOOKUP(B233,الجدول!A:D,3,FALSE)</f>
        <v>الخميس 11:00</v>
      </c>
    </row>
    <row r="234" spans="1:6" x14ac:dyDescent="0.35">
      <c r="A234">
        <v>7102</v>
      </c>
      <c r="B234">
        <v>2815</v>
      </c>
      <c r="C234" s="4" t="str">
        <f>VLOOKUP(B234,الجدول!A:B,2,FALSE)</f>
        <v>CALL</v>
      </c>
      <c r="D234">
        <f>VLOOKUP(B234,الجدول!A:E,5,FALSE)</f>
        <v>3</v>
      </c>
      <c r="E234" t="str">
        <f>VLOOKUP(B234,الجدول!A:D,4,FALSE)</f>
        <v>أ. فرج الجارح</v>
      </c>
      <c r="F234" t="str">
        <f>VLOOKUP(B234,الجدول!A:D,3,FALSE)</f>
        <v>الإربعاء 09:00</v>
      </c>
    </row>
    <row r="235" spans="1:6" x14ac:dyDescent="0.35">
      <c r="A235">
        <v>7180</v>
      </c>
      <c r="B235">
        <v>2401</v>
      </c>
      <c r="C235" s="4" t="str">
        <f>VLOOKUP(B235,الجدول!A:B,2,FALSE)</f>
        <v>Literary Readings A</v>
      </c>
      <c r="D235">
        <f>VLOOKUP(B235,الجدول!A:E,5,FALSE)</f>
        <v>3</v>
      </c>
      <c r="E235" t="str">
        <f>VLOOKUP(B235,الجدول!A:D,4,FALSE)</f>
        <v>أ.  فرج مالك</v>
      </c>
      <c r="F235" t="str">
        <f>VLOOKUP(B235,الجدول!A:D,3,FALSE)</f>
        <v>السبت 01:00</v>
      </c>
    </row>
    <row r="236" spans="1:6" x14ac:dyDescent="0.35">
      <c r="A236">
        <v>7180</v>
      </c>
      <c r="B236">
        <v>2512</v>
      </c>
      <c r="C236" s="4" t="str">
        <f>VLOOKUP(B236,الجدول!A:B,2,FALSE)</f>
        <v>Phonetics and Phonology</v>
      </c>
      <c r="D236">
        <f>VLOOKUP(B236,الجدول!A:E,5,FALSE)</f>
        <v>3</v>
      </c>
      <c r="E236" t="str">
        <f>VLOOKUP(B236,الجدول!A:D,4,FALSE)</f>
        <v>أ. الشريف الملاح</v>
      </c>
      <c r="F236" t="str">
        <f>VLOOKUP(B236,الجدول!A:D,3,FALSE)</f>
        <v>الخميس 09:00</v>
      </c>
    </row>
    <row r="237" spans="1:6" x14ac:dyDescent="0.35">
      <c r="A237">
        <v>7180</v>
      </c>
      <c r="B237">
        <v>2513</v>
      </c>
      <c r="C237" s="4" t="str">
        <f>VLOOKUP(B237,الجدول!A:B,2,FALSE)</f>
        <v>Language Acquisition</v>
      </c>
      <c r="D237">
        <f>VLOOKUP(B237,الجدول!A:E,5,FALSE)</f>
        <v>4</v>
      </c>
      <c r="E237" t="str">
        <f>VLOOKUP(B237,الجدول!A:D,4,FALSE)</f>
        <v>أ. آية ثابت</v>
      </c>
      <c r="F237" t="str">
        <f>VLOOKUP(B237,الجدول!A:D,3,FALSE)</f>
        <v>الخميس 11:00</v>
      </c>
    </row>
    <row r="238" spans="1:6" x14ac:dyDescent="0.35">
      <c r="A238">
        <v>7180</v>
      </c>
      <c r="B238">
        <v>2514</v>
      </c>
      <c r="C238" s="4" t="str">
        <f>VLOOKUP(B238,الجدول!A:B,2,FALSE)</f>
        <v>English / Arabic Translation</v>
      </c>
      <c r="D238">
        <f>VLOOKUP(B238,الجدول!A:E,5,FALSE)</f>
        <v>3</v>
      </c>
      <c r="E238" t="str">
        <f>VLOOKUP(B238,الجدول!A:D,4,FALSE)</f>
        <v>أ. علي اغنيوه</v>
      </c>
      <c r="F238" t="str">
        <f>VLOOKUP(B238,الجدول!A:D,3,FALSE)</f>
        <v>السبت 09:00</v>
      </c>
    </row>
    <row r="239" spans="1:6" x14ac:dyDescent="0.35">
      <c r="A239">
        <v>7180</v>
      </c>
      <c r="B239">
        <v>2515</v>
      </c>
      <c r="C239" s="4" t="str">
        <f>VLOOKUP(B239,الجدول!A:B,2,FALSE)</f>
        <v>Psycho. Linguistics</v>
      </c>
      <c r="D239">
        <f>VLOOKUP(B239,الجدول!A:E,5,FALSE)</f>
        <v>3</v>
      </c>
      <c r="E239" t="str">
        <f>VLOOKUP(B239,الجدول!A:D,4,FALSE)</f>
        <v>أ. خديجة العشيبي</v>
      </c>
      <c r="F239" t="str">
        <f>VLOOKUP(B239,الجدول!A:D,3,FALSE)</f>
        <v>السبت 11:00</v>
      </c>
    </row>
    <row r="240" spans="1:6" x14ac:dyDescent="0.35">
      <c r="A240">
        <v>7198</v>
      </c>
      <c r="B240">
        <v>2304</v>
      </c>
      <c r="C240" s="4" t="str">
        <f>VLOOKUP(B240,الجدول!A:B,2,FALSE)</f>
        <v>English Grammar B</v>
      </c>
      <c r="D240">
        <f>VLOOKUP(B240,الجدول!A:E,5,FALSE)</f>
        <v>3</v>
      </c>
      <c r="E240" t="str">
        <f>VLOOKUP(B240,الجدول!A:D,4,FALSE)</f>
        <v>د. عبدالسلام الرقاص</v>
      </c>
      <c r="F240" t="str">
        <f>VLOOKUP(B240,الجدول!A:D,3,FALSE)</f>
        <v>الإربعاء 09:00</v>
      </c>
    </row>
    <row r="241" spans="1:6" x14ac:dyDescent="0.35">
      <c r="A241">
        <v>7198</v>
      </c>
      <c r="B241">
        <v>2311</v>
      </c>
      <c r="C241" s="4" t="str">
        <f>VLOOKUP(B241,الجدول!A:B,2,FALSE)</f>
        <v>Listening and Speaking C</v>
      </c>
      <c r="D241">
        <f>VLOOKUP(B241,الجدول!A:E,5,FALSE)</f>
        <v>4</v>
      </c>
      <c r="E241" t="str">
        <f>VLOOKUP(B241,الجدول!A:D,4,FALSE)</f>
        <v>أ. آية ثابت</v>
      </c>
      <c r="F241" t="str">
        <f>VLOOKUP(B241,الجدول!A:D,3,FALSE)</f>
        <v>الخميس 09:00</v>
      </c>
    </row>
    <row r="242" spans="1:6" x14ac:dyDescent="0.35">
      <c r="A242">
        <v>7198</v>
      </c>
      <c r="B242">
        <v>2402</v>
      </c>
      <c r="C242" s="4" t="str">
        <f>VLOOKUP(B242,الجدول!A:B,2,FALSE)</f>
        <v>Reading Comprehension C</v>
      </c>
      <c r="D242">
        <f>VLOOKUP(B242,الجدول!A:E,5,FALSE)</f>
        <v>3</v>
      </c>
      <c r="E242" t="str">
        <f>VLOOKUP(B242,الجدول!A:D,4,FALSE)</f>
        <v>أ. يونس مصطفى</v>
      </c>
      <c r="F242" t="str">
        <f>VLOOKUP(B242,الجدول!A:D,3,FALSE)</f>
        <v>الإثنين 01:00</v>
      </c>
    </row>
    <row r="243" spans="1:6" x14ac:dyDescent="0.35">
      <c r="A243">
        <v>7198</v>
      </c>
      <c r="B243">
        <v>2313</v>
      </c>
      <c r="C243" s="4" t="str">
        <f>VLOOKUP(B243,الجدول!A:B,2,FALSE)</f>
        <v>Academic Writing</v>
      </c>
      <c r="D243">
        <f>VLOOKUP(B243,الجدول!A:E,5,FALSE)</f>
        <v>4</v>
      </c>
      <c r="E243" t="str">
        <f>VLOOKUP(B243,الجدول!A:D,4,FALSE)</f>
        <v>د. عبدالسلام الرقاص</v>
      </c>
      <c r="F243" t="str">
        <f>VLOOKUP(B243,الجدول!A:D,3,FALSE)</f>
        <v>الإربعاء 11:00</v>
      </c>
    </row>
    <row r="244" spans="1:6" x14ac:dyDescent="0.35">
      <c r="A244">
        <v>7198</v>
      </c>
      <c r="B244">
        <v>2301</v>
      </c>
      <c r="C244" s="4" t="str">
        <f>VLOOKUP(B244,الجدول!A:B,2,FALSE)</f>
        <v>Introduction to Linguistics</v>
      </c>
      <c r="D244">
        <f>VLOOKUP(B244,الجدول!A:E,5,FALSE)</f>
        <v>4</v>
      </c>
      <c r="E244" t="str">
        <f>VLOOKUP(B244,الجدول!A:D,4,FALSE)</f>
        <v>أ. الشريف الملاح</v>
      </c>
      <c r="F244" t="str">
        <f>VLOOKUP(B244,الجدول!A:D,3,FALSE)</f>
        <v>الأحد 09:00</v>
      </c>
    </row>
    <row r="245" spans="1:6" x14ac:dyDescent="0.35">
      <c r="A245">
        <v>7204</v>
      </c>
      <c r="B245">
        <v>2303</v>
      </c>
      <c r="C245" s="4" t="str">
        <f>VLOOKUP(B245,الجدول!A:B,2,FALSE)</f>
        <v>Writing B</v>
      </c>
      <c r="D245">
        <f>VLOOKUP(B245,الجدول!A:E,5,FALSE)</f>
        <v>3</v>
      </c>
      <c r="E245" t="str">
        <f>VLOOKUP(B245,الجدول!A:D,4,FALSE)</f>
        <v>أ. خديجة العشيبي</v>
      </c>
      <c r="F245" t="str">
        <f>VLOOKUP(B245,الجدول!A:D,3,FALSE)</f>
        <v>السبت 09:00</v>
      </c>
    </row>
    <row r="246" spans="1:6" x14ac:dyDescent="0.35">
      <c r="A246">
        <v>7204</v>
      </c>
      <c r="B246">
        <v>2304</v>
      </c>
      <c r="C246" s="4" t="str">
        <f>VLOOKUP(B246,الجدول!A:B,2,FALSE)</f>
        <v>English Grammar B</v>
      </c>
      <c r="D246">
        <f>VLOOKUP(B246,الجدول!A:E,5,FALSE)</f>
        <v>3</v>
      </c>
      <c r="E246" t="str">
        <f>VLOOKUP(B246,الجدول!A:D,4,FALSE)</f>
        <v>د. عبدالسلام الرقاص</v>
      </c>
      <c r="F246" t="str">
        <f>VLOOKUP(B246,الجدول!A:D,3,FALSE)</f>
        <v>الإربعاء 09:00</v>
      </c>
    </row>
    <row r="247" spans="1:6" x14ac:dyDescent="0.35">
      <c r="A247">
        <v>7204</v>
      </c>
      <c r="B247">
        <v>2402</v>
      </c>
      <c r="C247" s="4" t="str">
        <f>VLOOKUP(B247,الجدول!A:B,2,FALSE)</f>
        <v>Reading Comprehension C</v>
      </c>
      <c r="D247">
        <f>VLOOKUP(B247,الجدول!A:E,5,FALSE)</f>
        <v>3</v>
      </c>
      <c r="E247" t="str">
        <f>VLOOKUP(B247,الجدول!A:D,4,FALSE)</f>
        <v>أ. يونس مصطفى</v>
      </c>
      <c r="F247" t="str">
        <f>VLOOKUP(B247,الجدول!A:D,3,FALSE)</f>
        <v>الإثنين 01:00</v>
      </c>
    </row>
    <row r="248" spans="1:6" x14ac:dyDescent="0.35">
      <c r="A248">
        <v>7204</v>
      </c>
      <c r="B248">
        <v>2301</v>
      </c>
      <c r="C248" s="4" t="str">
        <f>VLOOKUP(B248,الجدول!A:B,2,FALSE)</f>
        <v>Introduction to Linguistics</v>
      </c>
      <c r="D248">
        <f>VLOOKUP(B248,الجدول!A:E,5,FALSE)</f>
        <v>4</v>
      </c>
      <c r="E248" t="str">
        <f>VLOOKUP(B248,الجدول!A:D,4,FALSE)</f>
        <v>أ. الشريف الملاح</v>
      </c>
      <c r="F248" t="str">
        <f>VLOOKUP(B248,الجدول!A:D,3,FALSE)</f>
        <v>الأحد 09:00</v>
      </c>
    </row>
    <row r="249" spans="1:6" x14ac:dyDescent="0.35">
      <c r="A249">
        <v>7204</v>
      </c>
      <c r="B249">
        <v>2513</v>
      </c>
      <c r="C249" s="4" t="str">
        <f>VLOOKUP(B249,الجدول!A:B,2,FALSE)</f>
        <v>Language Acquisition</v>
      </c>
      <c r="D249">
        <f>VLOOKUP(B249,الجدول!A:E,5,FALSE)</f>
        <v>4</v>
      </c>
      <c r="E249" t="str">
        <f>VLOOKUP(B249,الجدول!A:D,4,FALSE)</f>
        <v>أ. آية ثابت</v>
      </c>
      <c r="F249" t="str">
        <f>VLOOKUP(B249,الجدول!A:D,3,FALSE)</f>
        <v>الخميس 11:00</v>
      </c>
    </row>
    <row r="250" spans="1:6" x14ac:dyDescent="0.35">
      <c r="A250">
        <v>7206</v>
      </c>
      <c r="B250">
        <v>2303</v>
      </c>
      <c r="C250" s="4" t="str">
        <f>VLOOKUP(B250,الجدول!A:B,2,FALSE)</f>
        <v>Writing B</v>
      </c>
      <c r="D250">
        <f>VLOOKUP(B250,الجدول!A:E,5,FALSE)</f>
        <v>3</v>
      </c>
      <c r="E250" t="str">
        <f>VLOOKUP(B250,الجدول!A:D,4,FALSE)</f>
        <v>أ. خديجة العشيبي</v>
      </c>
      <c r="F250" t="str">
        <f>VLOOKUP(B250,الجدول!A:D,3,FALSE)</f>
        <v>السبت 09:00</v>
      </c>
    </row>
    <row r="251" spans="1:6" x14ac:dyDescent="0.35">
      <c r="A251">
        <v>7206</v>
      </c>
      <c r="B251">
        <v>2304</v>
      </c>
      <c r="C251" s="4" t="str">
        <f>VLOOKUP(B251,الجدول!A:B,2,FALSE)</f>
        <v>English Grammar B</v>
      </c>
      <c r="D251">
        <f>VLOOKUP(B251,الجدول!A:E,5,FALSE)</f>
        <v>3</v>
      </c>
      <c r="E251" t="str">
        <f>VLOOKUP(B251,الجدول!A:D,4,FALSE)</f>
        <v>د. عبدالسلام الرقاص</v>
      </c>
      <c r="F251" t="str">
        <f>VLOOKUP(B251,الجدول!A:D,3,FALSE)</f>
        <v>الإربعاء 09:00</v>
      </c>
    </row>
    <row r="252" spans="1:6" x14ac:dyDescent="0.35">
      <c r="A252">
        <v>7206</v>
      </c>
      <c r="B252">
        <v>2311</v>
      </c>
      <c r="C252" s="4" t="str">
        <f>VLOOKUP(B252,الجدول!A:B,2,FALSE)</f>
        <v>Listening and Speaking C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09:00</v>
      </c>
    </row>
    <row r="253" spans="1:6" x14ac:dyDescent="0.35">
      <c r="A253">
        <v>7206</v>
      </c>
      <c r="B253">
        <v>2402</v>
      </c>
      <c r="C253" s="4" t="str">
        <f>VLOOKUP(B253,الجدول!A:B,2,FALSE)</f>
        <v>Reading Comprehension C</v>
      </c>
      <c r="D253">
        <f>VLOOKUP(B253,الجدول!A:E,5,FALSE)</f>
        <v>3</v>
      </c>
      <c r="E253" t="str">
        <f>VLOOKUP(B253,الجدول!A:D,4,FALSE)</f>
        <v>أ. يونس مصطفى</v>
      </c>
      <c r="F253" t="str">
        <f>VLOOKUP(B253,الجدول!A:D,3,FALSE)</f>
        <v>الإثنين 01:00</v>
      </c>
    </row>
    <row r="254" spans="1:6" x14ac:dyDescent="0.35">
      <c r="A254">
        <v>7206</v>
      </c>
      <c r="B254">
        <v>2301</v>
      </c>
      <c r="C254" s="4" t="str">
        <f>VLOOKUP(B254,الجدول!A:B,2,FALSE)</f>
        <v>Introduction to Linguistics</v>
      </c>
      <c r="D254">
        <f>VLOOKUP(B254,الجدول!A:E,5,FALSE)</f>
        <v>4</v>
      </c>
      <c r="E254" t="str">
        <f>VLOOKUP(B254,الجدول!A:D,4,FALSE)</f>
        <v>أ. الشريف الملاح</v>
      </c>
      <c r="F254" t="str">
        <f>VLOOKUP(B254,الجدول!A:D,3,FALSE)</f>
        <v>الأحد 09:00</v>
      </c>
    </row>
    <row r="255" spans="1:6" x14ac:dyDescent="0.35">
      <c r="A255">
        <v>7207</v>
      </c>
      <c r="B255">
        <v>2113</v>
      </c>
      <c r="C255" s="4" t="str">
        <f>VLOOKUP(B255,الجدول!A:B,2,FALSE)</f>
        <v>Writing A</v>
      </c>
      <c r="D255">
        <f>VLOOKUP(B255,الجدول!A:E,5,FALSE)</f>
        <v>3</v>
      </c>
      <c r="E255" t="str">
        <f>VLOOKUP(B255,الجدول!A:D,4,FALSE)</f>
        <v>أ.  فرج مالك</v>
      </c>
      <c r="F255" t="str">
        <f>VLOOKUP(B255,الجدول!A:D,3,FALSE)</f>
        <v>السبت 11:00</v>
      </c>
    </row>
    <row r="256" spans="1:6" x14ac:dyDescent="0.35">
      <c r="A256">
        <v>7207</v>
      </c>
      <c r="B256">
        <v>2304</v>
      </c>
      <c r="C256" s="4" t="str">
        <f>VLOOKUP(B256,الجدول!A:B,2,FALSE)</f>
        <v>English Grammar B</v>
      </c>
      <c r="D256">
        <f>VLOOKUP(B256,الجدول!A:E,5,FALSE)</f>
        <v>3</v>
      </c>
      <c r="E256" t="str">
        <f>VLOOKUP(B256,الجدول!A:D,4,FALSE)</f>
        <v>د. عبدالسلام الرقاص</v>
      </c>
      <c r="F256" t="str">
        <f>VLOOKUP(B256,الجدول!A:D,3,FALSE)</f>
        <v>الإربعاء 09:00</v>
      </c>
    </row>
    <row r="257" spans="1:6" x14ac:dyDescent="0.35">
      <c r="A257">
        <v>7207</v>
      </c>
      <c r="B257">
        <v>2311</v>
      </c>
      <c r="C257" s="4" t="str">
        <f>VLOOKUP(B257,الجدول!A:B,2,FALSE)</f>
        <v>Listening and Speaking C</v>
      </c>
      <c r="D257">
        <f>VLOOKUP(B257,الجدول!A:E,5,FALSE)</f>
        <v>4</v>
      </c>
      <c r="E257" t="str">
        <f>VLOOKUP(B257,الجدول!A:D,4,FALSE)</f>
        <v>أ. آية ثابت</v>
      </c>
      <c r="F257" t="str">
        <f>VLOOKUP(B257,الجدول!A:D,3,FALSE)</f>
        <v>الخميس 09:00</v>
      </c>
    </row>
    <row r="258" spans="1:6" x14ac:dyDescent="0.35">
      <c r="A258">
        <v>7207</v>
      </c>
      <c r="B258">
        <v>2301</v>
      </c>
      <c r="C258" s="4" t="str">
        <f>VLOOKUP(B258,الجدول!A:B,2,FALSE)</f>
        <v>Introduction to Linguistics</v>
      </c>
      <c r="D258">
        <f>VLOOKUP(B258,الجدول!A:E,5,FALSE)</f>
        <v>4</v>
      </c>
      <c r="E258" t="str">
        <f>VLOOKUP(B258,الجدول!A:D,4,FALSE)</f>
        <v>أ. الشريف الملاح</v>
      </c>
      <c r="F258" t="str">
        <f>VLOOKUP(B258,الجدول!A:D,3,FALSE)</f>
        <v>الأحد 09:00</v>
      </c>
    </row>
    <row r="259" spans="1:6" x14ac:dyDescent="0.35">
      <c r="A259">
        <v>7242</v>
      </c>
      <c r="B259">
        <v>1102</v>
      </c>
      <c r="C259" s="4" t="str">
        <f>VLOOKUP(B259,الجدول!A:B,2,FALSE)</f>
        <v>التطبيقات اللغوية</v>
      </c>
      <c r="D259">
        <f>VLOOKUP(B259,الجدول!A:E,5,FALSE)</f>
        <v>3</v>
      </c>
      <c r="E259">
        <f>VLOOKUP(B259,الجدول!A:D,4,FALSE)</f>
        <v>0</v>
      </c>
      <c r="F259" t="str">
        <f>VLOOKUP(B259,الجدول!A:D,3,FALSE)</f>
        <v>الثلاثاء 09:00</v>
      </c>
    </row>
    <row r="260" spans="1:6" x14ac:dyDescent="0.35">
      <c r="A260">
        <v>7242</v>
      </c>
      <c r="B260"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v>7242</v>
      </c>
      <c r="B261">
        <v>2402</v>
      </c>
      <c r="C261" s="4" t="str">
        <f>VLOOKUP(B261,الجدول!A:B,2,FALSE)</f>
        <v>Reading Comprehension C</v>
      </c>
      <c r="D261">
        <f>VLOOKUP(B261,الجدول!A:E,5,FALSE)</f>
        <v>3</v>
      </c>
      <c r="E261" t="str">
        <f>VLOOKUP(B261,الجدول!A:D,4,FALSE)</f>
        <v>أ. يونس مصطفى</v>
      </c>
      <c r="F261" t="str">
        <f>VLOOKUP(B261,الجدول!A:D,3,FALSE)</f>
        <v>الإثنين 01:00</v>
      </c>
    </row>
    <row r="262" spans="1:6" x14ac:dyDescent="0.35">
      <c r="A262">
        <v>7242</v>
      </c>
      <c r="B262">
        <v>2313</v>
      </c>
      <c r="C262" s="4" t="str">
        <f>VLOOKUP(B262,الجدول!A:B,2,FALSE)</f>
        <v>Academic Writing</v>
      </c>
      <c r="D262">
        <f>VLOOKUP(B262,الجدول!A:E,5,FALSE)</f>
        <v>4</v>
      </c>
      <c r="E262" t="str">
        <f>VLOOKUP(B262,الجدول!A:D,4,FALSE)</f>
        <v>د. عبدالسلام الرقاص</v>
      </c>
      <c r="F262" t="str">
        <f>VLOOKUP(B262,الجدول!A:D,3,FALSE)</f>
        <v>الإربعاء 11:00</v>
      </c>
    </row>
    <row r="263" spans="1:6" x14ac:dyDescent="0.35">
      <c r="A263">
        <v>7242</v>
      </c>
      <c r="B263">
        <v>2504</v>
      </c>
      <c r="C263" s="4" t="str">
        <f>VLOOKUP(B263,الجدول!A:B,2,FALSE)</f>
        <v>English Grammar C</v>
      </c>
      <c r="D263">
        <f>VLOOKUP(B263,الجدول!A:E,5,FALSE)</f>
        <v>3</v>
      </c>
      <c r="E263" t="str">
        <f>VLOOKUP(B263,الجدول!A:D,4,FALSE)</f>
        <v>أ. أسامة سعد</v>
      </c>
      <c r="F263" t="str">
        <f>VLOOKUP(B263,الجدول!A:D,3,FALSE)</f>
        <v>الإثنين 09:00</v>
      </c>
    </row>
    <row r="264" spans="1:6" x14ac:dyDescent="0.35">
      <c r="A264">
        <v>7254</v>
      </c>
      <c r="B264"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v>7254</v>
      </c>
      <c r="B265"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v>7254</v>
      </c>
      <c r="B266"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v>7254</v>
      </c>
      <c r="B267">
        <v>2301</v>
      </c>
      <c r="C267" s="4" t="str">
        <f>VLOOKUP(B267,الجدول!A:B,2,FALSE)</f>
        <v>Introduction to Linguistics</v>
      </c>
      <c r="D267">
        <f>VLOOKUP(B267,الجدول!A:E,5,FALSE)</f>
        <v>4</v>
      </c>
      <c r="E267" t="str">
        <f>VLOOKUP(B267,الجدول!A:D,4,FALSE)</f>
        <v>أ. الشريف الملاح</v>
      </c>
      <c r="F267" t="str">
        <f>VLOOKUP(B267,الجدول!A:D,3,FALSE)</f>
        <v>الأحد 09:00</v>
      </c>
    </row>
    <row r="268" spans="1:6" x14ac:dyDescent="0.35">
      <c r="A268">
        <v>7254</v>
      </c>
      <c r="B268">
        <v>2513</v>
      </c>
      <c r="C268" s="4" t="str">
        <f>VLOOKUP(B268,الجدول!A:B,2,FALSE)</f>
        <v>Language Acquisition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11:00</v>
      </c>
    </row>
    <row r="269" spans="1:6" x14ac:dyDescent="0.35">
      <c r="A269">
        <v>7260</v>
      </c>
      <c r="B269">
        <v>2311</v>
      </c>
      <c r="C269" s="4" t="str">
        <f>VLOOKUP(B269,الجدول!A:B,2,FALSE)</f>
        <v>Listening and Speaking C</v>
      </c>
      <c r="D269">
        <f>VLOOKUP(B269,الجدول!A:E,5,FALSE)</f>
        <v>4</v>
      </c>
      <c r="E269" t="str">
        <f>VLOOKUP(B269,الجدول!A:D,4,FALSE)</f>
        <v>أ. آية ثابت</v>
      </c>
      <c r="F269" t="str">
        <f>VLOOKUP(B269,الجدول!A:D,3,FALSE)</f>
        <v>الخميس 09:00</v>
      </c>
    </row>
    <row r="270" spans="1:6" x14ac:dyDescent="0.35">
      <c r="A270">
        <v>7260</v>
      </c>
      <c r="B270">
        <v>2402</v>
      </c>
      <c r="C270" s="4" t="str">
        <f>VLOOKUP(B270,الجدول!A:B,2,FALSE)</f>
        <v>Reading Comprehension C</v>
      </c>
      <c r="D270">
        <f>VLOOKUP(B270,الجدول!A:E,5,FALSE)</f>
        <v>3</v>
      </c>
      <c r="E270" t="str">
        <f>VLOOKUP(B270,الجدول!A:D,4,FALSE)</f>
        <v>أ. يونس مصطفى</v>
      </c>
      <c r="F270" t="str">
        <f>VLOOKUP(B270,الجدول!A:D,3,FALSE)</f>
        <v>الإثنين 01:00</v>
      </c>
    </row>
    <row r="271" spans="1:6" x14ac:dyDescent="0.35">
      <c r="A271">
        <v>7260</v>
      </c>
      <c r="B271">
        <v>2313</v>
      </c>
      <c r="C271" s="4" t="str">
        <f>VLOOKUP(B271,الجدول!A:B,2,FALSE)</f>
        <v>Academic Writing</v>
      </c>
      <c r="D271">
        <f>VLOOKUP(B271,الجدول!A:E,5,FALSE)</f>
        <v>4</v>
      </c>
      <c r="E271" t="str">
        <f>VLOOKUP(B271,الجدول!A:D,4,FALSE)</f>
        <v>د. عبدالسلام الرقاص</v>
      </c>
      <c r="F271" t="str">
        <f>VLOOKUP(B271,الجدول!A:D,3,FALSE)</f>
        <v>الإربعاء 11:00</v>
      </c>
    </row>
    <row r="272" spans="1:6" x14ac:dyDescent="0.35">
      <c r="A272">
        <v>7260</v>
      </c>
      <c r="B272">
        <v>2504</v>
      </c>
      <c r="C272" s="4" t="str">
        <f>VLOOKUP(B272,الجدول!A:B,2,FALSE)</f>
        <v>English Grammar C</v>
      </c>
      <c r="D272">
        <f>VLOOKUP(B272,الجدول!A:E,5,FALSE)</f>
        <v>3</v>
      </c>
      <c r="E272" t="str">
        <f>VLOOKUP(B272,الجدول!A:D,4,FALSE)</f>
        <v>أ. أسامة سعد</v>
      </c>
      <c r="F272" t="str">
        <f>VLOOKUP(B272,الجدول!A:D,3,FALSE)</f>
        <v>الإثنين 09:00</v>
      </c>
    </row>
    <row r="273" spans="1:6" x14ac:dyDescent="0.35">
      <c r="A273">
        <v>7260</v>
      </c>
      <c r="B273">
        <v>2301</v>
      </c>
      <c r="C273" s="4" t="str">
        <f>VLOOKUP(B273,الجدول!A:B,2,FALSE)</f>
        <v>Introduction to Linguistics</v>
      </c>
      <c r="D273">
        <f>VLOOKUP(B273,الجدول!A:E,5,FALSE)</f>
        <v>4</v>
      </c>
      <c r="E273" t="str">
        <f>VLOOKUP(B273,الجدول!A:D,4,FALSE)</f>
        <v>أ. الشريف الملاح</v>
      </c>
      <c r="F273" t="str">
        <f>VLOOKUP(B273,الجدول!A:D,3,FALSE)</f>
        <v>الأحد 09:00</v>
      </c>
    </row>
    <row r="274" spans="1:6" x14ac:dyDescent="0.35">
      <c r="A274">
        <v>7260</v>
      </c>
      <c r="B274">
        <v>3110</v>
      </c>
      <c r="C274" s="4" t="str">
        <f>VLOOKUP(B274,الجدول!A:B,2,FALSE)</f>
        <v>الحضارة العربية الإسلامية</v>
      </c>
      <c r="D274">
        <f>VLOOKUP(B274,الجدول!A:E,5,FALSE)</f>
        <v>3</v>
      </c>
      <c r="E274">
        <f>VLOOKUP(B274,الجدول!A:D,4,FALSE)</f>
        <v>0</v>
      </c>
      <c r="F274" t="str">
        <f>VLOOKUP(B274,الجدول!A:D,3,FALSE)</f>
        <v>الثلاثاء 11:00</v>
      </c>
    </row>
    <row r="275" spans="1:6" x14ac:dyDescent="0.35">
      <c r="A275">
        <v>7278</v>
      </c>
      <c r="B275">
        <v>2311</v>
      </c>
      <c r="C275" s="4" t="str">
        <f>VLOOKUP(B275,الجدول!A:B,2,FALSE)</f>
        <v>Listening and Speaking C</v>
      </c>
      <c r="D275">
        <f>VLOOKUP(B275,الجدول!A:E,5,FALSE)</f>
        <v>4</v>
      </c>
      <c r="E275" t="str">
        <f>VLOOKUP(B275,الجدول!A:D,4,FALSE)</f>
        <v>أ. آية ثابت</v>
      </c>
      <c r="F275" t="str">
        <f>VLOOKUP(B275,الجدول!A:D,3,FALSE)</f>
        <v>الخميس 09:00</v>
      </c>
    </row>
    <row r="276" spans="1:6" x14ac:dyDescent="0.35">
      <c r="A276">
        <v>7278</v>
      </c>
      <c r="B276">
        <v>2402</v>
      </c>
      <c r="C276" s="4" t="str">
        <f>VLOOKUP(B276,الجدول!A:B,2,FALSE)</f>
        <v>Reading Comprehension C</v>
      </c>
      <c r="D276">
        <f>VLOOKUP(B276,الجدول!A:E,5,FALSE)</f>
        <v>3</v>
      </c>
      <c r="E276" t="str">
        <f>VLOOKUP(B276,الجدول!A:D,4,FALSE)</f>
        <v>أ. يونس مصطفى</v>
      </c>
      <c r="F276" t="str">
        <f>VLOOKUP(B276,الجدول!A:D,3,FALSE)</f>
        <v>الإثنين 01:00</v>
      </c>
    </row>
    <row r="277" spans="1:6" x14ac:dyDescent="0.35">
      <c r="A277">
        <v>7278</v>
      </c>
      <c r="B277">
        <v>2313</v>
      </c>
      <c r="C277" s="4" t="str">
        <f>VLOOKUP(B277,الجدول!A:B,2,FALSE)</f>
        <v>Academic Writing</v>
      </c>
      <c r="D277">
        <f>VLOOKUP(B277,الجدول!A:E,5,FALSE)</f>
        <v>4</v>
      </c>
      <c r="E277" t="str">
        <f>VLOOKUP(B277,الجدول!A:D,4,FALSE)</f>
        <v>د. عبدالسلام الرقاص</v>
      </c>
      <c r="F277" t="str">
        <f>VLOOKUP(B277,الجدول!A:D,3,FALSE)</f>
        <v>الإربعاء 11:00</v>
      </c>
    </row>
    <row r="278" spans="1:6" x14ac:dyDescent="0.35">
      <c r="A278">
        <v>7278</v>
      </c>
      <c r="B278">
        <v>2504</v>
      </c>
      <c r="C278" s="4" t="str">
        <f>VLOOKUP(B278,الجدول!A:B,2,FALSE)</f>
        <v>English Grammar C</v>
      </c>
      <c r="D278">
        <f>VLOOKUP(B278,الجدول!A:E,5,FALSE)</f>
        <v>3</v>
      </c>
      <c r="E278" t="str">
        <f>VLOOKUP(B278,الجدول!A:D,4,FALSE)</f>
        <v>أ. أسامة سعد</v>
      </c>
      <c r="F278" t="str">
        <f>VLOOKUP(B278,الجدول!A:D,3,FALSE)</f>
        <v>الإثنين 09:00</v>
      </c>
    </row>
    <row r="279" spans="1:6" x14ac:dyDescent="0.35">
      <c r="A279">
        <v>7278</v>
      </c>
      <c r="B279">
        <v>2401</v>
      </c>
      <c r="C279" s="4" t="str">
        <f>VLOOKUP(B279,الجدول!A:B,2,FALSE)</f>
        <v>Literary Readings A</v>
      </c>
      <c r="D279">
        <f>VLOOKUP(B279,الجدول!A:E,5,FALSE)</f>
        <v>3</v>
      </c>
      <c r="E279" t="str">
        <f>VLOOKUP(B279,الجدول!A:D,4,FALSE)</f>
        <v>أ.  فرج مالك</v>
      </c>
      <c r="F279" t="str">
        <f>VLOOKUP(B279,الجدول!A:D,3,FALSE)</f>
        <v>السبت 01:00</v>
      </c>
    </row>
    <row r="280" spans="1:6" x14ac:dyDescent="0.35">
      <c r="A280">
        <v>7285</v>
      </c>
      <c r="B280">
        <v>2301</v>
      </c>
      <c r="C280" s="4" t="str">
        <f>VLOOKUP(B280,الجدول!A:B,2,FALSE)</f>
        <v>Introduction to Linguistics</v>
      </c>
      <c r="D280">
        <f>VLOOKUP(B280,الجدول!A:E,5,FALSE)</f>
        <v>4</v>
      </c>
      <c r="E280" t="str">
        <f>VLOOKUP(B280,الجدول!A:D,4,FALSE)</f>
        <v>أ. الشريف الملاح</v>
      </c>
      <c r="F280" t="str">
        <f>VLOOKUP(B280,الجدول!A:D,3,FALSE)</f>
        <v>الأحد 09:00</v>
      </c>
    </row>
    <row r="281" spans="1:6" x14ac:dyDescent="0.35">
      <c r="A281">
        <v>7285</v>
      </c>
      <c r="B281">
        <v>1102</v>
      </c>
      <c r="C281" s="4" t="str">
        <f>VLOOKUP(B281,الجدول!A:B,2,FALSE)</f>
        <v>التطبيقات اللغوية</v>
      </c>
      <c r="D281">
        <f>VLOOKUP(B281,الجدول!A:E,5,FALSE)</f>
        <v>3</v>
      </c>
      <c r="E281">
        <f>VLOOKUP(B281,الجدول!A:D,4,FALSE)</f>
        <v>0</v>
      </c>
      <c r="F281" t="str">
        <f>VLOOKUP(B281,الجدول!A:D,3,FALSE)</f>
        <v>الثلاثاء 09:00</v>
      </c>
    </row>
    <row r="282" spans="1:6" x14ac:dyDescent="0.35">
      <c r="A282">
        <v>7285</v>
      </c>
      <c r="B282">
        <v>2311</v>
      </c>
      <c r="C282" s="4" t="str">
        <f>VLOOKUP(B282,الجدول!A:B,2,FALSE)</f>
        <v>Listening and Speaking C</v>
      </c>
      <c r="D282">
        <f>VLOOKUP(B282,الجدول!A:E,5,FALSE)</f>
        <v>4</v>
      </c>
      <c r="E282" t="str">
        <f>VLOOKUP(B282,الجدول!A:D,4,FALSE)</f>
        <v>أ. آية ثابت</v>
      </c>
      <c r="F282" t="str">
        <f>VLOOKUP(B282,الجدول!A:D,3,FALSE)</f>
        <v>الخميس 09:00</v>
      </c>
    </row>
    <row r="283" spans="1:6" x14ac:dyDescent="0.35">
      <c r="A283">
        <v>7285</v>
      </c>
      <c r="B283">
        <v>2313</v>
      </c>
      <c r="C283" s="4" t="str">
        <f>VLOOKUP(B283,الجدول!A:B,2,FALSE)</f>
        <v>Academic Writing</v>
      </c>
      <c r="D283">
        <f>VLOOKUP(B283,الجدول!A:E,5,FALSE)</f>
        <v>4</v>
      </c>
      <c r="E283" t="str">
        <f>VLOOKUP(B283,الجدول!A:D,4,FALSE)</f>
        <v>د. عبدالسلام الرقاص</v>
      </c>
      <c r="F283" t="str">
        <f>VLOOKUP(B283,الجدول!A:D,3,FALSE)</f>
        <v>الإربعاء 11:00</v>
      </c>
    </row>
    <row r="284" spans="1:6" x14ac:dyDescent="0.35">
      <c r="A284">
        <v>7285</v>
      </c>
      <c r="B284">
        <v>2504</v>
      </c>
      <c r="C284" s="4" t="str">
        <f>VLOOKUP(B284,الجدول!A:B,2,FALSE)</f>
        <v>English Grammar C</v>
      </c>
      <c r="D284">
        <f>VLOOKUP(B284,الجدول!A:E,5,FALSE)</f>
        <v>3</v>
      </c>
      <c r="E284" t="str">
        <f>VLOOKUP(B284,الجدول!A:D,4,FALSE)</f>
        <v>أ. أسامة سعد</v>
      </c>
      <c r="F284" t="str">
        <f>VLOOKUP(B284,الجدول!A:D,3,FALSE)</f>
        <v>الإثنين 09:00</v>
      </c>
    </row>
    <row r="285" spans="1:6" x14ac:dyDescent="0.35">
      <c r="A285">
        <v>7287</v>
      </c>
      <c r="B285">
        <v>2114</v>
      </c>
      <c r="C285" s="4" t="str">
        <f>VLOOKUP(B285,الجدول!A:B,2,FALSE)</f>
        <v>English Grammar A</v>
      </c>
      <c r="D285">
        <f>VLOOKUP(B285,الجدول!A:E,5,FALSE)</f>
        <v>3</v>
      </c>
      <c r="E285" t="str">
        <f>VLOOKUP(B285,الجدول!A:D,4,FALSE)</f>
        <v>أ. الشريف الملاح</v>
      </c>
      <c r="F285" t="str">
        <f>VLOOKUP(B285,الجدول!A:D,3,FALSE)</f>
        <v>الخميس 11:00</v>
      </c>
    </row>
    <row r="286" spans="1:6" x14ac:dyDescent="0.35">
      <c r="A286">
        <v>7287</v>
      </c>
      <c r="B286">
        <v>2303</v>
      </c>
      <c r="C286" s="4" t="str">
        <f>VLOOKUP(B286,الجدول!A:B,2,FALSE)</f>
        <v>Writing B</v>
      </c>
      <c r="D286">
        <f>VLOOKUP(B286,الجدول!A:E,5,FALSE)</f>
        <v>3</v>
      </c>
      <c r="E286" t="str">
        <f>VLOOKUP(B286,الجدول!A:D,4,FALSE)</f>
        <v>أ. خديجة العشيبي</v>
      </c>
      <c r="F286" t="str">
        <f>VLOOKUP(B286,الجدول!A:D,3,FALSE)</f>
        <v>السبت 09:00</v>
      </c>
    </row>
    <row r="287" spans="1:6" x14ac:dyDescent="0.35">
      <c r="A287">
        <v>7287</v>
      </c>
      <c r="B287">
        <v>1102</v>
      </c>
      <c r="C287" s="4" t="str">
        <f>VLOOKUP(B287,الجدول!A:B,2,FALSE)</f>
        <v>التطبيقات اللغوية</v>
      </c>
      <c r="D287">
        <f>VLOOKUP(B287,الجدول!A:E,5,FALSE)</f>
        <v>3</v>
      </c>
      <c r="E287">
        <f>VLOOKUP(B287,الجدول!A:D,4,FALSE)</f>
        <v>0</v>
      </c>
      <c r="F287" t="str">
        <f>VLOOKUP(B287,الجدول!A:D,3,FALSE)</f>
        <v>الثلاثاء 09:00</v>
      </c>
    </row>
    <row r="288" spans="1:6" x14ac:dyDescent="0.35">
      <c r="A288">
        <v>7287</v>
      </c>
      <c r="B288">
        <v>2311</v>
      </c>
      <c r="C288" s="4" t="str">
        <f>VLOOKUP(B288,الجدول!A:B,2,FALSE)</f>
        <v>Listening and Speaking C</v>
      </c>
      <c r="D288">
        <f>VLOOKUP(B288,الجدول!A:E,5,FALSE)</f>
        <v>4</v>
      </c>
      <c r="E288" t="str">
        <f>VLOOKUP(B288,الجدول!A:D,4,FALSE)</f>
        <v>أ. آية ثابت</v>
      </c>
      <c r="F288" t="str">
        <f>VLOOKUP(B288,الجدول!A:D,3,FALSE)</f>
        <v>الخميس 09:00</v>
      </c>
    </row>
    <row r="289" spans="1:6" x14ac:dyDescent="0.35">
      <c r="A289">
        <v>7287</v>
      </c>
      <c r="B289">
        <v>2402</v>
      </c>
      <c r="C289" s="4" t="str">
        <f>VLOOKUP(B289,الجدول!A:B,2,FALSE)</f>
        <v>Reading Comprehension C</v>
      </c>
      <c r="D289">
        <f>VLOOKUP(B289,الجدول!A:E,5,FALSE)</f>
        <v>3</v>
      </c>
      <c r="E289" t="str">
        <f>VLOOKUP(B289,الجدول!A:D,4,FALSE)</f>
        <v>أ. يونس مصطفى</v>
      </c>
      <c r="F289" t="str">
        <f>VLOOKUP(B289,الجدول!A:D,3,FALSE)</f>
        <v>الإثنين 01:00</v>
      </c>
    </row>
    <row r="290" spans="1:6" x14ac:dyDescent="0.35">
      <c r="A290">
        <v>7288</v>
      </c>
      <c r="B290">
        <v>2304</v>
      </c>
      <c r="C290" s="4" t="str">
        <f>VLOOKUP(B290,الجدول!A:B,2,FALSE)</f>
        <v>English Grammar B</v>
      </c>
      <c r="D290">
        <f>VLOOKUP(B290,الجدول!A:E,5,FALSE)</f>
        <v>3</v>
      </c>
      <c r="E290" t="str">
        <f>VLOOKUP(B290,الجدول!A:D,4,FALSE)</f>
        <v>د. عبدالسلام الرقاص</v>
      </c>
      <c r="F290" t="str">
        <f>VLOOKUP(B290,الجدول!A:D,3,FALSE)</f>
        <v>الإربعاء 09:00</v>
      </c>
    </row>
    <row r="291" spans="1:6" x14ac:dyDescent="0.35">
      <c r="A291">
        <v>7288</v>
      </c>
      <c r="B291"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>
        <f>VLOOKUP(B291,الجدول!A:D,4,FALSE)</f>
        <v>0</v>
      </c>
      <c r="F291" t="str">
        <f>VLOOKUP(B291,الجدول!A:D,3,FALSE)</f>
        <v>الثلاثاء 09:00</v>
      </c>
    </row>
    <row r="292" spans="1:6" x14ac:dyDescent="0.35">
      <c r="A292">
        <v>7288</v>
      </c>
      <c r="B292"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v>7288</v>
      </c>
      <c r="B293"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v>7288</v>
      </c>
      <c r="B294">
        <v>2313</v>
      </c>
      <c r="C294" s="4" t="str">
        <f>VLOOKUP(B294,الجدول!A:B,2,FALSE)</f>
        <v>Academic Writing</v>
      </c>
      <c r="D294">
        <f>VLOOKUP(B294,الجدول!A:E,5,FALSE)</f>
        <v>4</v>
      </c>
      <c r="E294" t="str">
        <f>VLOOKUP(B294,الجدول!A:D,4,FALSE)</f>
        <v>د. عبدالسلام الرقاص</v>
      </c>
      <c r="F294" t="str">
        <f>VLOOKUP(B294,الجدول!A:D,3,FALSE)</f>
        <v>الإربعاء 11:00</v>
      </c>
    </row>
    <row r="295" spans="1:6" x14ac:dyDescent="0.35">
      <c r="A295">
        <v>7290</v>
      </c>
      <c r="B295">
        <v>2304</v>
      </c>
      <c r="C295" s="4" t="str">
        <f>VLOOKUP(B295,الجدول!A:B,2,FALSE)</f>
        <v>English Grammar B</v>
      </c>
      <c r="D295">
        <f>VLOOKUP(B295,الجدول!A:E,5,FALSE)</f>
        <v>3</v>
      </c>
      <c r="E295" t="str">
        <f>VLOOKUP(B295,الجدول!A:D,4,FALSE)</f>
        <v>د. عبدالسلام الرقاص</v>
      </c>
      <c r="F295" t="str">
        <f>VLOOKUP(B295,الجدول!A:D,3,FALSE)</f>
        <v>الإربعاء 09:00</v>
      </c>
    </row>
    <row r="296" spans="1:6" x14ac:dyDescent="0.35">
      <c r="A296">
        <v>7290</v>
      </c>
      <c r="B296">
        <v>1102</v>
      </c>
      <c r="C296" s="4" t="str">
        <f>VLOOKUP(B296,الجدول!A:B,2,FALSE)</f>
        <v>التطبيقات اللغوية</v>
      </c>
      <c r="D296">
        <f>VLOOKUP(B296,الجدول!A:E,5,FALSE)</f>
        <v>3</v>
      </c>
      <c r="E296">
        <f>VLOOKUP(B296,الجدول!A:D,4,FALSE)</f>
        <v>0</v>
      </c>
      <c r="F296" t="str">
        <f>VLOOKUP(B296,الجدول!A:D,3,FALSE)</f>
        <v>الثلاثاء 09:00</v>
      </c>
    </row>
    <row r="297" spans="1:6" x14ac:dyDescent="0.35">
      <c r="A297">
        <v>7290</v>
      </c>
      <c r="B297">
        <v>2311</v>
      </c>
      <c r="C297" s="4" t="str">
        <f>VLOOKUP(B297,الجدول!A:B,2,FALSE)</f>
        <v>Listening and Speaking C</v>
      </c>
      <c r="D297">
        <f>VLOOKUP(B297,الجدول!A:E,5,FALSE)</f>
        <v>4</v>
      </c>
      <c r="E297" t="str">
        <f>VLOOKUP(B297,الجدول!A:D,4,FALSE)</f>
        <v>أ. آية ثابت</v>
      </c>
      <c r="F297" t="str">
        <f>VLOOKUP(B297,الجدول!A:D,3,FALSE)</f>
        <v>الخميس 09:00</v>
      </c>
    </row>
    <row r="298" spans="1:6" x14ac:dyDescent="0.35">
      <c r="A298">
        <v>7290</v>
      </c>
      <c r="B298">
        <v>2402</v>
      </c>
      <c r="C298" s="4" t="str">
        <f>VLOOKUP(B298,الجدول!A:B,2,FALSE)</f>
        <v>Reading Comprehension C</v>
      </c>
      <c r="D298">
        <f>VLOOKUP(B298,الجدول!A:E,5,FALSE)</f>
        <v>3</v>
      </c>
      <c r="E298" t="str">
        <f>VLOOKUP(B298,الجدول!A:D,4,FALSE)</f>
        <v>أ. يونس مصطفى</v>
      </c>
      <c r="F298" t="str">
        <f>VLOOKUP(B298,الجدول!A:D,3,FALSE)</f>
        <v>الإثنين 01:00</v>
      </c>
    </row>
    <row r="299" spans="1:6" x14ac:dyDescent="0.35">
      <c r="A299">
        <v>7290</v>
      </c>
      <c r="B299">
        <v>2313</v>
      </c>
      <c r="C299" s="4" t="str">
        <f>VLOOKUP(B299,الجدول!A:B,2,FALSE)</f>
        <v>Academic Writing</v>
      </c>
      <c r="D299">
        <f>VLOOKUP(B299,الجدول!A:E,5,FALSE)</f>
        <v>4</v>
      </c>
      <c r="E299" t="str">
        <f>VLOOKUP(B299,الجدول!A:D,4,FALSE)</f>
        <v>د. عبدالسلام الرقاص</v>
      </c>
      <c r="F299" t="str">
        <f>VLOOKUP(B299,الجدول!A:D,3,FALSE)</f>
        <v>الإربعاء 11:00</v>
      </c>
    </row>
    <row r="300" spans="1:6" x14ac:dyDescent="0.35">
      <c r="A300">
        <v>7292</v>
      </c>
      <c r="B300"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>
        <f>VLOOKUP(B300,الجدول!A:D,4,FALSE)</f>
        <v>0</v>
      </c>
      <c r="F300" t="str">
        <f>VLOOKUP(B300,الجدول!A:D,3,FALSE)</f>
        <v>الثلاثاء 09:00</v>
      </c>
    </row>
    <row r="301" spans="1:6" x14ac:dyDescent="0.35">
      <c r="A301">
        <v>7292</v>
      </c>
      <c r="B301"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v>7292</v>
      </c>
      <c r="B302"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v>7292</v>
      </c>
      <c r="B303"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v>7292</v>
      </c>
      <c r="B304">
        <v>2504</v>
      </c>
      <c r="C304" s="4" t="str">
        <f>VLOOKUP(B304,الجدول!A:B,2,FALSE)</f>
        <v>English Grammar C</v>
      </c>
      <c r="D304">
        <f>VLOOKUP(B304,الجدول!A:E,5,FALSE)</f>
        <v>3</v>
      </c>
      <c r="E304" t="str">
        <f>VLOOKUP(B304,الجدول!A:D,4,FALSE)</f>
        <v>أ. أسامة سعد</v>
      </c>
      <c r="F304" t="str">
        <f>VLOOKUP(B304,الجدول!A:D,3,FALSE)</f>
        <v>الإثنين 09:00</v>
      </c>
    </row>
    <row r="305" spans="1:6" x14ac:dyDescent="0.35">
      <c r="A305">
        <v>7293</v>
      </c>
      <c r="B305">
        <v>2303</v>
      </c>
      <c r="C305" s="4" t="str">
        <f>VLOOKUP(B305,الجدول!A:B,2,FALSE)</f>
        <v>Writing B</v>
      </c>
      <c r="D305">
        <f>VLOOKUP(B305,الجدول!A:E,5,FALSE)</f>
        <v>3</v>
      </c>
      <c r="E305" t="str">
        <f>VLOOKUP(B305,الجدول!A:D,4,FALSE)</f>
        <v>أ. خديجة العشيبي</v>
      </c>
      <c r="F305" t="str">
        <f>VLOOKUP(B305,الجدول!A:D,3,FALSE)</f>
        <v>السبت 09:00</v>
      </c>
    </row>
    <row r="306" spans="1:6" x14ac:dyDescent="0.35">
      <c r="A306">
        <v>7293</v>
      </c>
      <c r="B306">
        <v>2304</v>
      </c>
      <c r="C306" s="4" t="str">
        <f>VLOOKUP(B306,الجدول!A:B,2,FALSE)</f>
        <v>English Grammar B</v>
      </c>
      <c r="D306">
        <f>VLOOKUP(B306,الجدول!A:E,5,FALSE)</f>
        <v>3</v>
      </c>
      <c r="E306" t="str">
        <f>VLOOKUP(B306,الجدول!A:D,4,FALSE)</f>
        <v>د. عبدالسلام الرقاص</v>
      </c>
      <c r="F306" t="str">
        <f>VLOOKUP(B306,الجدول!A:D,3,FALSE)</f>
        <v>الإربعاء 09:00</v>
      </c>
    </row>
    <row r="307" spans="1:6" x14ac:dyDescent="0.35">
      <c r="A307">
        <v>7293</v>
      </c>
      <c r="B307">
        <v>3110</v>
      </c>
      <c r="C307" s="4" t="str">
        <f>VLOOKUP(B307,الجدول!A:B,2,FALSE)</f>
        <v>الحضارة العربية الإسلامية</v>
      </c>
      <c r="D307">
        <f>VLOOKUP(B307,الجدول!A:E,5,FALSE)</f>
        <v>3</v>
      </c>
      <c r="E307">
        <f>VLOOKUP(B307,الجدول!A:D,4,FALSE)</f>
        <v>0</v>
      </c>
      <c r="F307" t="str">
        <f>VLOOKUP(B307,الجدول!A:D,3,FALSE)</f>
        <v>الثلاثاء 11:00</v>
      </c>
    </row>
    <row r="308" spans="1:6" x14ac:dyDescent="0.35">
      <c r="A308">
        <v>7293</v>
      </c>
      <c r="B308">
        <v>2311</v>
      </c>
      <c r="C308" s="4" t="str">
        <f>VLOOKUP(B308,الجدول!A:B,2,FALSE)</f>
        <v>Listening and Speaking C</v>
      </c>
      <c r="D308">
        <f>VLOOKUP(B308,الجدول!A:E,5,FALSE)</f>
        <v>4</v>
      </c>
      <c r="E308" t="str">
        <f>VLOOKUP(B308,الجدول!A:D,4,FALSE)</f>
        <v>أ. آية ثابت</v>
      </c>
      <c r="F308" t="str">
        <f>VLOOKUP(B308,الجدول!A:D,3,FALSE)</f>
        <v>الخميس 09:00</v>
      </c>
    </row>
    <row r="309" spans="1:6" x14ac:dyDescent="0.35">
      <c r="A309">
        <v>7293</v>
      </c>
      <c r="B309">
        <v>2402</v>
      </c>
      <c r="C309" s="4" t="str">
        <f>VLOOKUP(B309,الجدول!A:B,2,FALSE)</f>
        <v>Reading Comprehension C</v>
      </c>
      <c r="D309">
        <f>VLOOKUP(B309,الجدول!A:E,5,FALSE)</f>
        <v>3</v>
      </c>
      <c r="E309" t="str">
        <f>VLOOKUP(B309,الجدول!A:D,4,FALSE)</f>
        <v>أ. يونس مصطفى</v>
      </c>
      <c r="F309" t="str">
        <f>VLOOKUP(B309,الجدول!A:D,3,FALSE)</f>
        <v>الإثنين 01:00</v>
      </c>
    </row>
    <row r="310" spans="1:6" x14ac:dyDescent="0.35">
      <c r="A310">
        <v>7294</v>
      </c>
      <c r="B310">
        <v>2311</v>
      </c>
      <c r="C310" s="4" t="str">
        <f>VLOOKUP(B310,الجدول!A:B,2,FALSE)</f>
        <v>Listening and Speaking C</v>
      </c>
      <c r="D310">
        <f>VLOOKUP(B310,الجدول!A:E,5,FALSE)</f>
        <v>4</v>
      </c>
      <c r="E310" t="str">
        <f>VLOOKUP(B310,الجدول!A:D,4,FALSE)</f>
        <v>أ. آية ثابت</v>
      </c>
      <c r="F310" t="str">
        <f>VLOOKUP(B310,الجدول!A:D,3,FALSE)</f>
        <v>الخميس 09:00</v>
      </c>
    </row>
    <row r="311" spans="1:6" x14ac:dyDescent="0.35">
      <c r="A311">
        <v>7294</v>
      </c>
      <c r="B311">
        <v>2402</v>
      </c>
      <c r="C311" s="4" t="str">
        <f>VLOOKUP(B311,الجدول!A:B,2,FALSE)</f>
        <v>Reading Comprehension C</v>
      </c>
      <c r="D311">
        <f>VLOOKUP(B311,الجدول!A:E,5,FALSE)</f>
        <v>3</v>
      </c>
      <c r="E311" t="str">
        <f>VLOOKUP(B311,الجدول!A:D,4,FALSE)</f>
        <v>أ. يونس مصطفى</v>
      </c>
      <c r="F311" t="str">
        <f>VLOOKUP(B311,الجدول!A:D,3,FALSE)</f>
        <v>الإثنين 01:00</v>
      </c>
    </row>
    <row r="312" spans="1:6" x14ac:dyDescent="0.35">
      <c r="A312">
        <v>7294</v>
      </c>
      <c r="B312">
        <v>2313</v>
      </c>
      <c r="C312" s="4" t="str">
        <f>VLOOKUP(B312,الجدول!A:B,2,FALSE)</f>
        <v>Academic Writing</v>
      </c>
      <c r="D312">
        <f>VLOOKUP(B312,الجدول!A:E,5,FALSE)</f>
        <v>4</v>
      </c>
      <c r="E312" t="str">
        <f>VLOOKUP(B312,الجدول!A:D,4,FALSE)</f>
        <v>د. عبدالسلام الرقاص</v>
      </c>
      <c r="F312" t="str">
        <f>VLOOKUP(B312,الجدول!A:D,3,FALSE)</f>
        <v>الإربعاء 11:00</v>
      </c>
    </row>
    <row r="313" spans="1:6" x14ac:dyDescent="0.35">
      <c r="A313">
        <v>7294</v>
      </c>
      <c r="B313">
        <v>2504</v>
      </c>
      <c r="C313" s="4" t="str">
        <f>VLOOKUP(B313,الجدول!A:B,2,FALSE)</f>
        <v>English Grammar C</v>
      </c>
      <c r="D313">
        <f>VLOOKUP(B313,الجدول!A:E,5,FALSE)</f>
        <v>3</v>
      </c>
      <c r="E313" t="str">
        <f>VLOOKUP(B313,الجدول!A:D,4,FALSE)</f>
        <v>أ. أسامة سعد</v>
      </c>
      <c r="F313" t="str">
        <f>VLOOKUP(B313,الجدول!A:D,3,FALSE)</f>
        <v>الإثنين 09:00</v>
      </c>
    </row>
    <row r="314" spans="1:6" x14ac:dyDescent="0.35">
      <c r="A314">
        <v>7294</v>
      </c>
      <c r="B314">
        <v>2301</v>
      </c>
      <c r="C314" s="4" t="str">
        <f>VLOOKUP(B314,الجدول!A:B,2,FALSE)</f>
        <v>Introduction to Linguistics</v>
      </c>
      <c r="D314">
        <f>VLOOKUP(B314,الجدول!A:E,5,FALSE)</f>
        <v>4</v>
      </c>
      <c r="E314" t="str">
        <f>VLOOKUP(B314,الجدول!A:D,4,FALSE)</f>
        <v>أ. الشريف الملاح</v>
      </c>
      <c r="F314" t="str">
        <f>VLOOKUP(B314,الجدول!A:D,3,FALSE)</f>
        <v>الأحد 09:00</v>
      </c>
    </row>
    <row r="315" spans="1:6" x14ac:dyDescent="0.35">
      <c r="A315">
        <v>7295</v>
      </c>
      <c r="B315">
        <v>1102</v>
      </c>
      <c r="C315" s="4" t="str">
        <f>VLOOKUP(B315,الجدول!A:B,2,FALSE)</f>
        <v>التطبيقات اللغوية</v>
      </c>
      <c r="D315">
        <f>VLOOKUP(B315,الجدول!A:E,5,FALSE)</f>
        <v>3</v>
      </c>
      <c r="E315">
        <f>VLOOKUP(B315,الجدول!A:D,4,FALSE)</f>
        <v>0</v>
      </c>
      <c r="F315" t="str">
        <f>VLOOKUP(B315,الجدول!A:D,3,FALSE)</f>
        <v>الثلاثاء 09:00</v>
      </c>
    </row>
    <row r="316" spans="1:6" x14ac:dyDescent="0.35">
      <c r="A316">
        <v>7295</v>
      </c>
      <c r="B316">
        <v>2311</v>
      </c>
      <c r="C316" s="4" t="str">
        <f>VLOOKUP(B316,الجدول!A:B,2,FALSE)</f>
        <v>Listening and Speaking C</v>
      </c>
      <c r="D316">
        <f>VLOOKUP(B316,الجدول!A:E,5,FALSE)</f>
        <v>4</v>
      </c>
      <c r="E316" t="str">
        <f>VLOOKUP(B316,الجدول!A:D,4,FALSE)</f>
        <v>أ. آية ثابت</v>
      </c>
      <c r="F316" t="str">
        <f>VLOOKUP(B316,الجدول!A:D,3,FALSE)</f>
        <v>الخميس 09:00</v>
      </c>
    </row>
    <row r="317" spans="1:6" x14ac:dyDescent="0.35">
      <c r="A317">
        <v>7295</v>
      </c>
      <c r="B317">
        <v>2402</v>
      </c>
      <c r="C317" s="4" t="str">
        <f>VLOOKUP(B317,الجدول!A:B,2,FALSE)</f>
        <v>Reading Comprehension C</v>
      </c>
      <c r="D317">
        <f>VLOOKUP(B317,الجدول!A:E,5,FALSE)</f>
        <v>3</v>
      </c>
      <c r="E317" t="str">
        <f>VLOOKUP(B317,الجدول!A:D,4,FALSE)</f>
        <v>أ. يونس مصطفى</v>
      </c>
      <c r="F317" t="str">
        <f>VLOOKUP(B317,الجدول!A:D,3,FALSE)</f>
        <v>الإثنين 01:00</v>
      </c>
    </row>
    <row r="318" spans="1:6" x14ac:dyDescent="0.35">
      <c r="A318">
        <v>7295</v>
      </c>
      <c r="B318">
        <v>2313</v>
      </c>
      <c r="C318" s="4" t="str">
        <f>VLOOKUP(B318,الجدول!A:B,2,FALSE)</f>
        <v>Academic Writing</v>
      </c>
      <c r="D318">
        <f>VLOOKUP(B318,الجدول!A:E,5,FALSE)</f>
        <v>4</v>
      </c>
      <c r="E318" t="str">
        <f>VLOOKUP(B318,الجدول!A:D,4,FALSE)</f>
        <v>د. عبدالسلام الرقاص</v>
      </c>
      <c r="F318" t="str">
        <f>VLOOKUP(B318,الجدول!A:D,3,FALSE)</f>
        <v>الإربعاء 11:00</v>
      </c>
    </row>
    <row r="319" spans="1:6" x14ac:dyDescent="0.35">
      <c r="A319">
        <v>7295</v>
      </c>
      <c r="B319">
        <v>2504</v>
      </c>
      <c r="C319" s="4" t="str">
        <f>VLOOKUP(B319,الجدول!A:B,2,FALSE)</f>
        <v>English Grammar C</v>
      </c>
      <c r="D319">
        <f>VLOOKUP(B319,الجدول!A:E,5,FALSE)</f>
        <v>3</v>
      </c>
      <c r="E319" t="str">
        <f>VLOOKUP(B319,الجدول!A:D,4,FALSE)</f>
        <v>أ. أسامة سعد</v>
      </c>
      <c r="F319" t="str">
        <f>VLOOKUP(B319,الجدول!A:D,3,FALSE)</f>
        <v>الإثنين 09:00</v>
      </c>
    </row>
    <row r="320" spans="1:6" x14ac:dyDescent="0.35">
      <c r="A320">
        <v>7296</v>
      </c>
      <c r="B320"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v>7296</v>
      </c>
      <c r="B321"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v>7296</v>
      </c>
      <c r="B322"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v>7296</v>
      </c>
      <c r="B323"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v>7296</v>
      </c>
      <c r="B324">
        <v>3110</v>
      </c>
      <c r="C324" s="4" t="str">
        <f>VLOOKUP(B324,الجدول!A:B,2,FALSE)</f>
        <v>الحضارة العربية الإسلامية</v>
      </c>
      <c r="D324">
        <f>VLOOKUP(B324,الجدول!A:E,5,FALSE)</f>
        <v>3</v>
      </c>
      <c r="E324">
        <f>VLOOKUP(B324,الجدول!A:D,4,FALSE)</f>
        <v>0</v>
      </c>
      <c r="F324" t="str">
        <f>VLOOKUP(B324,الجدول!A:D,3,FALSE)</f>
        <v>الثلاثاء 11:00</v>
      </c>
    </row>
    <row r="325" spans="1:6" x14ac:dyDescent="0.35">
      <c r="A325">
        <v>7296</v>
      </c>
      <c r="B325">
        <v>2301</v>
      </c>
      <c r="C325" s="4" t="str">
        <f>VLOOKUP(B325,الجدول!A:B,2,FALSE)</f>
        <v>Introduction to Linguistics</v>
      </c>
      <c r="D325">
        <f>VLOOKUP(B325,الجدول!A:E,5,FALSE)</f>
        <v>4</v>
      </c>
      <c r="E325" t="str">
        <f>VLOOKUP(B325,الجدول!A:D,4,FALSE)</f>
        <v>أ. الشريف الملاح</v>
      </c>
      <c r="F325" t="str">
        <f>VLOOKUP(B325,الجدول!A:D,3,FALSE)</f>
        <v>الأحد 09:00</v>
      </c>
    </row>
    <row r="326" spans="1:6" x14ac:dyDescent="0.35">
      <c r="A326">
        <v>7297</v>
      </c>
      <c r="B326">
        <v>1102</v>
      </c>
      <c r="C326" s="4" t="str">
        <f>VLOOKUP(B326,الجدول!A:B,2,FALSE)</f>
        <v>التطبيقات اللغوية</v>
      </c>
      <c r="D326">
        <f>VLOOKUP(B326,الجدول!A:E,5,FALSE)</f>
        <v>3</v>
      </c>
      <c r="E326">
        <f>VLOOKUP(B326,الجدول!A:D,4,FALSE)</f>
        <v>0</v>
      </c>
      <c r="F326" t="str">
        <f>VLOOKUP(B326,الجدول!A:D,3,FALSE)</f>
        <v>الثلاثاء 09:00</v>
      </c>
    </row>
    <row r="327" spans="1:6" x14ac:dyDescent="0.35">
      <c r="A327">
        <v>7297</v>
      </c>
      <c r="B327">
        <v>2311</v>
      </c>
      <c r="C327" s="4" t="str">
        <f>VLOOKUP(B327,الجدول!A:B,2,FALSE)</f>
        <v>Listening and Speaking C</v>
      </c>
      <c r="D327">
        <f>VLOOKUP(B327,الجدول!A:E,5,FALSE)</f>
        <v>4</v>
      </c>
      <c r="E327" t="str">
        <f>VLOOKUP(B327,الجدول!A:D,4,FALSE)</f>
        <v>أ. آية ثابت</v>
      </c>
      <c r="F327" t="str">
        <f>VLOOKUP(B327,الجدول!A:D,3,FALSE)</f>
        <v>الخميس 09:00</v>
      </c>
    </row>
    <row r="328" spans="1:6" x14ac:dyDescent="0.35">
      <c r="A328">
        <v>7297</v>
      </c>
      <c r="B328">
        <v>2402</v>
      </c>
      <c r="C328" s="4" t="str">
        <f>VLOOKUP(B328,الجدول!A:B,2,FALSE)</f>
        <v>Reading Comprehension C</v>
      </c>
      <c r="D328">
        <f>VLOOKUP(B328,الجدول!A:E,5,FALSE)</f>
        <v>3</v>
      </c>
      <c r="E328" t="str">
        <f>VLOOKUP(B328,الجدول!A:D,4,FALSE)</f>
        <v>أ. يونس مصطفى</v>
      </c>
      <c r="F328" t="str">
        <f>VLOOKUP(B328,الجدول!A:D,3,FALSE)</f>
        <v>الإثنين 01:00</v>
      </c>
    </row>
    <row r="329" spans="1:6" x14ac:dyDescent="0.35">
      <c r="A329">
        <v>7297</v>
      </c>
      <c r="B329">
        <v>2313</v>
      </c>
      <c r="C329" s="4" t="str">
        <f>VLOOKUP(B329,الجدول!A:B,2,FALSE)</f>
        <v>Academic Writing</v>
      </c>
      <c r="D329">
        <f>VLOOKUP(B329,الجدول!A:E,5,FALSE)</f>
        <v>4</v>
      </c>
      <c r="E329" t="str">
        <f>VLOOKUP(B329,الجدول!A:D,4,FALSE)</f>
        <v>د. عبدالسلام الرقاص</v>
      </c>
      <c r="F329" t="str">
        <f>VLOOKUP(B329,الجدول!A:D,3,FALSE)</f>
        <v>الإربعاء 11:00</v>
      </c>
    </row>
    <row r="330" spans="1:6" x14ac:dyDescent="0.35">
      <c r="A330">
        <v>7297</v>
      </c>
      <c r="B330">
        <v>2504</v>
      </c>
      <c r="C330" s="4" t="str">
        <f>VLOOKUP(B330,الجدول!A:B,2,FALSE)</f>
        <v>English Grammar C</v>
      </c>
      <c r="D330">
        <f>VLOOKUP(B330,الجدول!A:E,5,FALSE)</f>
        <v>3</v>
      </c>
      <c r="E330" t="str">
        <f>VLOOKUP(B330,الجدول!A:D,4,FALSE)</f>
        <v>أ. أسامة سعد</v>
      </c>
      <c r="F330" t="str">
        <f>VLOOKUP(B330,الجدول!A:D,3,FALSE)</f>
        <v>الإثنين 09:00</v>
      </c>
    </row>
    <row r="331" spans="1:6" x14ac:dyDescent="0.35">
      <c r="A331">
        <v>7336</v>
      </c>
      <c r="B331">
        <v>1102</v>
      </c>
      <c r="C331" s="4" t="str">
        <f>VLOOKUP(B331,الجدول!A:B,2,FALSE)</f>
        <v>التطبيقات اللغوية</v>
      </c>
      <c r="D331">
        <f>VLOOKUP(B331,الجدول!A:E,5,FALSE)</f>
        <v>3</v>
      </c>
      <c r="E331">
        <f>VLOOKUP(B331,الجدول!A:D,4,FALSE)</f>
        <v>0</v>
      </c>
      <c r="F331" t="str">
        <f>VLOOKUP(B331,الجدول!A:D,3,FALSE)</f>
        <v>الثلاثاء 09:00</v>
      </c>
    </row>
    <row r="332" spans="1:6" x14ac:dyDescent="0.35">
      <c r="A332">
        <v>7336</v>
      </c>
      <c r="B332">
        <v>2311</v>
      </c>
      <c r="C332" s="4" t="str">
        <f>VLOOKUP(B332,الجدول!A:B,2,FALSE)</f>
        <v>Listening and Speaking C</v>
      </c>
      <c r="D332">
        <f>VLOOKUP(B332,الجدول!A:E,5,FALSE)</f>
        <v>4</v>
      </c>
      <c r="E332" t="str">
        <f>VLOOKUP(B332,الجدول!A:D,4,FALSE)</f>
        <v>أ. آية ثابت</v>
      </c>
      <c r="F332" t="str">
        <f>VLOOKUP(B332,الجدول!A:D,3,FALSE)</f>
        <v>الخميس 09:00</v>
      </c>
    </row>
    <row r="333" spans="1:6" x14ac:dyDescent="0.35">
      <c r="A333">
        <v>7336</v>
      </c>
      <c r="B333">
        <v>2402</v>
      </c>
      <c r="C333" s="4" t="str">
        <f>VLOOKUP(B333,الجدول!A:B,2,FALSE)</f>
        <v>Reading Comprehension C</v>
      </c>
      <c r="D333">
        <f>VLOOKUP(B333,الجدول!A:E,5,FALSE)</f>
        <v>3</v>
      </c>
      <c r="E333" t="str">
        <f>VLOOKUP(B333,الجدول!A:D,4,FALSE)</f>
        <v>أ. يونس مصطفى</v>
      </c>
      <c r="F333" t="str">
        <f>VLOOKUP(B333,الجدول!A:D,3,FALSE)</f>
        <v>الإثنين 01:00</v>
      </c>
    </row>
    <row r="334" spans="1:6" x14ac:dyDescent="0.35">
      <c r="A334">
        <v>7336</v>
      </c>
      <c r="B334">
        <v>2313</v>
      </c>
      <c r="C334" s="4" t="str">
        <f>VLOOKUP(B334,الجدول!A:B,2,FALSE)</f>
        <v>Academic Writing</v>
      </c>
      <c r="D334">
        <f>VLOOKUP(B334,الجدول!A:E,5,FALSE)</f>
        <v>4</v>
      </c>
      <c r="E334" t="str">
        <f>VLOOKUP(B334,الجدول!A:D,4,FALSE)</f>
        <v>د. عبدالسلام الرقاص</v>
      </c>
      <c r="F334" t="str">
        <f>VLOOKUP(B334,الجدول!A:D,3,FALSE)</f>
        <v>الإربعاء 11:00</v>
      </c>
    </row>
    <row r="335" spans="1:6" x14ac:dyDescent="0.35">
      <c r="A335">
        <v>7336</v>
      </c>
      <c r="B335">
        <v>2504</v>
      </c>
      <c r="C335" s="4" t="str">
        <f>VLOOKUP(B335,الجدول!A:B,2,FALSE)</f>
        <v>English Grammar C</v>
      </c>
      <c r="D335">
        <f>VLOOKUP(B335,الجدول!A:E,5,FALSE)</f>
        <v>3</v>
      </c>
      <c r="E335" t="str">
        <f>VLOOKUP(B335,الجدول!A:D,4,FALSE)</f>
        <v>أ. أسامة سعد</v>
      </c>
      <c r="F335" t="str">
        <f>VLOOKUP(B335,الجدول!A:D,3,FALSE)</f>
        <v>الإثنين 09:00</v>
      </c>
    </row>
    <row r="336" spans="1:6" x14ac:dyDescent="0.35">
      <c r="A336">
        <v>7352</v>
      </c>
      <c r="B336">
        <v>2401</v>
      </c>
      <c r="C336" s="4" t="str">
        <f>VLOOKUP(B336,الجدول!A:B,2,FALSE)</f>
        <v>Literary Readings A</v>
      </c>
      <c r="D336">
        <f>VLOOKUP(B336,الجدول!A:E,5,FALSE)</f>
        <v>3</v>
      </c>
      <c r="E336" t="str">
        <f>VLOOKUP(B336,الجدول!A:D,4,FALSE)</f>
        <v>أ.  فرج مالك</v>
      </c>
      <c r="F336" t="str">
        <f>VLOOKUP(B336,الجدول!A:D,3,FALSE)</f>
        <v>السبت 01:00</v>
      </c>
    </row>
    <row r="337" spans="1:6" x14ac:dyDescent="0.35">
      <c r="A337">
        <v>7352</v>
      </c>
      <c r="B337">
        <v>2512</v>
      </c>
      <c r="C337" s="4" t="str">
        <f>VLOOKUP(B337,الجدول!A:B,2,FALSE)</f>
        <v>Phonetics and Phonology</v>
      </c>
      <c r="D337">
        <f>VLOOKUP(B337,الجدول!A:E,5,FALSE)</f>
        <v>3</v>
      </c>
      <c r="E337" t="str">
        <f>VLOOKUP(B337,الجدول!A:D,4,FALSE)</f>
        <v>أ. الشريف الملاح</v>
      </c>
      <c r="F337" t="str">
        <f>VLOOKUP(B337,الجدول!A:D,3,FALSE)</f>
        <v>الخميس 09:00</v>
      </c>
    </row>
    <row r="338" spans="1:6" x14ac:dyDescent="0.35">
      <c r="A338">
        <v>7352</v>
      </c>
      <c r="B338">
        <v>2514</v>
      </c>
      <c r="C338" s="4" t="str">
        <f>VLOOKUP(B338,الجدول!A:B,2,FALSE)</f>
        <v>English / Arabic Translation</v>
      </c>
      <c r="D338">
        <f>VLOOKUP(B338,الجدول!A:E,5,FALSE)</f>
        <v>3</v>
      </c>
      <c r="E338" t="str">
        <f>VLOOKUP(B338,الجدول!A:D,4,FALSE)</f>
        <v>أ. علي اغنيوه</v>
      </c>
      <c r="F338" t="str">
        <f>VLOOKUP(B338,الجدول!A:D,3,FALSE)</f>
        <v>السبت 09:00</v>
      </c>
    </row>
    <row r="339" spans="1:6" x14ac:dyDescent="0.35">
      <c r="A339">
        <v>7352</v>
      </c>
      <c r="B339">
        <v>2515</v>
      </c>
      <c r="C339" s="4" t="str">
        <f>VLOOKUP(B339,الجدول!A:B,2,FALSE)</f>
        <v>Psycho. Linguistics</v>
      </c>
      <c r="D339">
        <f>VLOOKUP(B339,الجدول!A:E,5,FALSE)</f>
        <v>3</v>
      </c>
      <c r="E339" t="str">
        <f>VLOOKUP(B339,الجدول!A:D,4,FALSE)</f>
        <v>أ. خديجة العشيبي</v>
      </c>
      <c r="F339" t="str">
        <f>VLOOKUP(B339,الجدول!A:D,3,FALSE)</f>
        <v>السبت 11:00</v>
      </c>
    </row>
    <row r="340" spans="1:6" x14ac:dyDescent="0.35">
      <c r="A340">
        <v>7352</v>
      </c>
      <c r="B340">
        <v>2704</v>
      </c>
      <c r="C340" s="4" t="str">
        <f>VLOOKUP(B340,الجدول!A:B,2,FALSE)</f>
        <v>Semantics</v>
      </c>
      <c r="D340">
        <f>VLOOKUP(B340,الجدول!A:E,5,FALSE)</f>
        <v>3</v>
      </c>
      <c r="E340" t="str">
        <f>VLOOKUP(B340,الجدول!A:D,4,FALSE)</f>
        <v>أ. الشريف الملاح</v>
      </c>
      <c r="F340" t="str">
        <f>VLOOKUP(B340,الجدول!A:D,3,FALSE)</f>
        <v>الأحد 11:00</v>
      </c>
    </row>
    <row r="341" spans="1:6" x14ac:dyDescent="0.35">
      <c r="A341">
        <v>7360</v>
      </c>
      <c r="B341">
        <v>2304</v>
      </c>
      <c r="C341" s="4" t="str">
        <f>VLOOKUP(B341,الجدول!A:B,2,FALSE)</f>
        <v>English Grammar B</v>
      </c>
      <c r="D341">
        <f>VLOOKUP(B341,الجدول!A:E,5,FALSE)</f>
        <v>3</v>
      </c>
      <c r="E341" t="str">
        <f>VLOOKUP(B341,الجدول!A:D,4,FALSE)</f>
        <v>د. عبدالسلام الرقاص</v>
      </c>
      <c r="F341" t="str">
        <f>VLOOKUP(B341,الجدول!A:D,3,FALSE)</f>
        <v>الإربعاء 09:00</v>
      </c>
    </row>
    <row r="342" spans="1:6" x14ac:dyDescent="0.35">
      <c r="A342">
        <v>7360</v>
      </c>
      <c r="B342">
        <v>1102</v>
      </c>
      <c r="C342" s="4" t="str">
        <f>VLOOKUP(B342,الجدول!A:B,2,FALSE)</f>
        <v>التطبيقات اللغوية</v>
      </c>
      <c r="D342">
        <f>VLOOKUP(B342,الجدول!A:E,5,FALSE)</f>
        <v>3</v>
      </c>
      <c r="E342">
        <f>VLOOKUP(B342,الجدول!A:D,4,FALSE)</f>
        <v>0</v>
      </c>
      <c r="F342" t="str">
        <f>VLOOKUP(B342,الجدول!A:D,3,FALSE)</f>
        <v>الثلاثاء 09:00</v>
      </c>
    </row>
    <row r="343" spans="1:6" x14ac:dyDescent="0.35">
      <c r="A343">
        <v>7360</v>
      </c>
      <c r="B343">
        <v>2311</v>
      </c>
      <c r="C343" s="4" t="str">
        <f>VLOOKUP(B343,الجدول!A:B,2,FALSE)</f>
        <v>Listening and Speaking C</v>
      </c>
      <c r="D343">
        <f>VLOOKUP(B343,الجدول!A:E,5,FALSE)</f>
        <v>4</v>
      </c>
      <c r="E343" t="str">
        <f>VLOOKUP(B343,الجدول!A:D,4,FALSE)</f>
        <v>أ. آية ثابت</v>
      </c>
      <c r="F343" t="str">
        <f>VLOOKUP(B343,الجدول!A:D,3,FALSE)</f>
        <v>الخميس 09:00</v>
      </c>
    </row>
    <row r="344" spans="1:6" x14ac:dyDescent="0.35">
      <c r="A344">
        <v>7360</v>
      </c>
      <c r="B344">
        <v>2402</v>
      </c>
      <c r="C344" s="4" t="str">
        <f>VLOOKUP(B344,الجدول!A:B,2,FALSE)</f>
        <v>Reading Comprehension C</v>
      </c>
      <c r="D344">
        <f>VLOOKUP(B344,الجدول!A:E,5,FALSE)</f>
        <v>3</v>
      </c>
      <c r="E344" t="str">
        <f>VLOOKUP(B344,الجدول!A:D,4,FALSE)</f>
        <v>أ. يونس مصطفى</v>
      </c>
      <c r="F344" t="str">
        <f>VLOOKUP(B344,الجدول!A:D,3,FALSE)</f>
        <v>الإثنين 01:00</v>
      </c>
    </row>
    <row r="345" spans="1:6" x14ac:dyDescent="0.35">
      <c r="A345">
        <v>7360</v>
      </c>
      <c r="B345">
        <v>2313</v>
      </c>
      <c r="C345" s="4" t="str">
        <f>VLOOKUP(B345,الجدول!A:B,2,FALSE)</f>
        <v>Academic Writing</v>
      </c>
      <c r="D345">
        <f>VLOOKUP(B345,الجدول!A:E,5,FALSE)</f>
        <v>4</v>
      </c>
      <c r="E345" t="str">
        <f>VLOOKUP(B345,الجدول!A:D,4,FALSE)</f>
        <v>د. عبدالسلام الرقاص</v>
      </c>
      <c r="F345" t="str">
        <f>VLOOKUP(B345,الجدول!A:D,3,FALSE)</f>
        <v>الإربعاء 11:00</v>
      </c>
    </row>
    <row r="346" spans="1:6" x14ac:dyDescent="0.35">
      <c r="A346">
        <v>7368</v>
      </c>
      <c r="B346"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>
        <f>VLOOKUP(B346,الجدول!A:D,4,FALSE)</f>
        <v>0</v>
      </c>
      <c r="F346" t="str">
        <f>VLOOKUP(B346,الجدول!A:D,3,FALSE)</f>
        <v>الثلاثاء 09:00</v>
      </c>
    </row>
    <row r="347" spans="1:6" x14ac:dyDescent="0.35">
      <c r="A347">
        <v>7368</v>
      </c>
      <c r="B347"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v>7368</v>
      </c>
      <c r="B348"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v>7368</v>
      </c>
      <c r="B349"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v>7368</v>
      </c>
      <c r="B350">
        <v>2504</v>
      </c>
      <c r="C350" s="4" t="str">
        <f>VLOOKUP(B350,الجدول!A:B,2,FALSE)</f>
        <v>English Grammar C</v>
      </c>
      <c r="D350">
        <f>VLOOKUP(B350,الجدول!A:E,5,FALSE)</f>
        <v>3</v>
      </c>
      <c r="E350" t="str">
        <f>VLOOKUP(B350,الجدول!A:D,4,FALSE)</f>
        <v>أ. أسامة سعد</v>
      </c>
      <c r="F350" t="str">
        <f>VLOOKUP(B350,الجدول!A:D,3,FALSE)</f>
        <v>الإثنين 09:00</v>
      </c>
    </row>
    <row r="351" spans="1:6" x14ac:dyDescent="0.35">
      <c r="A351">
        <v>7388</v>
      </c>
      <c r="B351">
        <v>2111</v>
      </c>
      <c r="C351" s="4" t="str">
        <f>VLOOKUP(B351,الجدول!A:B,2,FALSE)</f>
        <v>Listening and Speaking A</v>
      </c>
      <c r="D351">
        <f>VLOOKUP(B351,الجدول!A:E,5,FALSE)</f>
        <v>4</v>
      </c>
      <c r="E351" t="str">
        <f>VLOOKUP(B351,الجدول!A:D,4,FALSE)</f>
        <v>أ. يونس مصطفى</v>
      </c>
      <c r="F351" t="str">
        <f>VLOOKUP(B351,الجدول!A:D,3,FALSE)</f>
        <v>الإثنين 11:00</v>
      </c>
    </row>
    <row r="352" spans="1:6" x14ac:dyDescent="0.35">
      <c r="A352">
        <v>7388</v>
      </c>
      <c r="B352">
        <v>2112</v>
      </c>
      <c r="C352" s="4" t="str">
        <f>VLOOKUP(B352,الجدول!A:B,2,FALSE)</f>
        <v>Reading Comprehension A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09:00</v>
      </c>
    </row>
    <row r="353" spans="1:6" x14ac:dyDescent="0.35">
      <c r="A353">
        <v>7388</v>
      </c>
      <c r="B353">
        <v>2114</v>
      </c>
      <c r="C353" s="4" t="str">
        <f>VLOOKUP(B353,الجدول!A:B,2,FALSE)</f>
        <v>English Grammar A</v>
      </c>
      <c r="D353">
        <f>VLOOKUP(B353,الجدول!A:E,5,FALSE)</f>
        <v>3</v>
      </c>
      <c r="E353" t="str">
        <f>VLOOKUP(B353,الجدول!A:D,4,FALSE)</f>
        <v>أ. الشريف الملاح</v>
      </c>
      <c r="F353" t="str">
        <f>VLOOKUP(B353,الجدول!A:D,3,FALSE)</f>
        <v>الخميس 11:00</v>
      </c>
    </row>
    <row r="354" spans="1:6" x14ac:dyDescent="0.35">
      <c r="A354">
        <v>7388</v>
      </c>
      <c r="B354">
        <v>2303</v>
      </c>
      <c r="C354" s="4" t="str">
        <f>VLOOKUP(B354,الجدول!A:B,2,FALSE)</f>
        <v>Writing B</v>
      </c>
      <c r="D354">
        <f>VLOOKUP(B354,الجدول!A:E,5,FALSE)</f>
        <v>3</v>
      </c>
      <c r="E354" t="str">
        <f>VLOOKUP(B354,الجدول!A:D,4,FALSE)</f>
        <v>أ. خديجة العشيبي</v>
      </c>
      <c r="F354" t="str">
        <f>VLOOKUP(B354,الجدول!A:D,3,FALSE)</f>
        <v>السبت 09:00</v>
      </c>
    </row>
    <row r="355" spans="1:6" x14ac:dyDescent="0.35">
      <c r="A355">
        <v>7388</v>
      </c>
      <c r="B355">
        <v>1102</v>
      </c>
      <c r="C355" s="4" t="str">
        <f>VLOOKUP(B355,الجدول!A:B,2,FALSE)</f>
        <v>التطبيقات اللغوية</v>
      </c>
      <c r="D355">
        <f>VLOOKUP(B355,الجدول!A:E,5,FALSE)</f>
        <v>3</v>
      </c>
      <c r="E355">
        <f>VLOOKUP(B355,الجدول!A:D,4,FALSE)</f>
        <v>0</v>
      </c>
      <c r="F355" t="str">
        <f>VLOOKUP(B355,الجدول!A:D,3,FALSE)</f>
        <v>الثلاثاء 09:00</v>
      </c>
    </row>
    <row r="356" spans="1:6" x14ac:dyDescent="0.35">
      <c r="A356">
        <v>7389</v>
      </c>
      <c r="B356"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v>7389</v>
      </c>
      <c r="B357">
        <v>2304</v>
      </c>
      <c r="C357" s="4" t="str">
        <f>VLOOKUP(B357,الجدول!A:B,2,FALSE)</f>
        <v>English Grammar B</v>
      </c>
      <c r="D357">
        <f>VLOOKUP(B357,الجدول!A:E,5,FALSE)</f>
        <v>3</v>
      </c>
      <c r="E357" t="str">
        <f>VLOOKUP(B357,الجدول!A:D,4,FALSE)</f>
        <v>د. عبدالسلام الرقاص</v>
      </c>
      <c r="F357" t="str">
        <f>VLOOKUP(B357,الجدول!A:D,3,FALSE)</f>
        <v>الإربعاء 09:00</v>
      </c>
    </row>
    <row r="358" spans="1:6" x14ac:dyDescent="0.35">
      <c r="A358">
        <v>7389</v>
      </c>
      <c r="B358">
        <v>1102</v>
      </c>
      <c r="C358" s="4" t="str">
        <f>VLOOKUP(B358,الجدول!A:B,2,FALSE)</f>
        <v>التطبيقات اللغوية</v>
      </c>
      <c r="D358">
        <f>VLOOKUP(B358,الجدول!A:E,5,FALSE)</f>
        <v>3</v>
      </c>
      <c r="E358">
        <f>VLOOKUP(B358,الجدول!A:D,4,FALSE)</f>
        <v>0</v>
      </c>
      <c r="F358" t="str">
        <f>VLOOKUP(B358,الجدول!A:D,3,FALSE)</f>
        <v>الثلاثاء 09:00</v>
      </c>
    </row>
    <row r="359" spans="1:6" x14ac:dyDescent="0.35">
      <c r="A359">
        <v>7389</v>
      </c>
      <c r="B359">
        <v>2311</v>
      </c>
      <c r="C359" s="4" t="str">
        <f>VLOOKUP(B359,الجدول!A:B,2,FALSE)</f>
        <v>Listening and Speaking C</v>
      </c>
      <c r="D359">
        <f>VLOOKUP(B359,الجدول!A:E,5,FALSE)</f>
        <v>4</v>
      </c>
      <c r="E359" t="str">
        <f>VLOOKUP(B359,الجدول!A:D,4,FALSE)</f>
        <v>أ. آية ثابت</v>
      </c>
      <c r="F359" t="str">
        <f>VLOOKUP(B359,الجدول!A:D,3,FALSE)</f>
        <v>الخميس 09:00</v>
      </c>
    </row>
    <row r="360" spans="1:6" x14ac:dyDescent="0.35">
      <c r="A360">
        <v>7389</v>
      </c>
      <c r="B360">
        <v>2313</v>
      </c>
      <c r="C360" s="4" t="str">
        <f>VLOOKUP(B360,الجدول!A:B,2,FALSE)</f>
        <v>Academic Writing</v>
      </c>
      <c r="D360">
        <f>VLOOKUP(B360,الجدول!A:E,5,FALSE)</f>
        <v>4</v>
      </c>
      <c r="E360" t="str">
        <f>VLOOKUP(B360,الجدول!A:D,4,FALSE)</f>
        <v>د. عبدالسلام الرقاص</v>
      </c>
      <c r="F360" t="str">
        <f>VLOOKUP(B360,الجدول!A:D,3,FALSE)</f>
        <v>الإربعاء 11:00</v>
      </c>
    </row>
    <row r="361" spans="1:6" x14ac:dyDescent="0.35">
      <c r="A361">
        <v>7400</v>
      </c>
      <c r="B361">
        <v>1102</v>
      </c>
      <c r="C361" s="4" t="str">
        <f>VLOOKUP(B361,الجدول!A:B,2,FALSE)</f>
        <v>التطبيقات اللغوية</v>
      </c>
      <c r="D361">
        <f>VLOOKUP(B361,الجدول!A:E,5,FALSE)</f>
        <v>3</v>
      </c>
      <c r="E361">
        <f>VLOOKUP(B361,الجدول!A:D,4,FALSE)</f>
        <v>0</v>
      </c>
      <c r="F361" t="str">
        <f>VLOOKUP(B361,الجدول!A:D,3,FALSE)</f>
        <v>الثلاثاء 09:00</v>
      </c>
    </row>
    <row r="362" spans="1:6" x14ac:dyDescent="0.35">
      <c r="A362">
        <v>7400</v>
      </c>
      <c r="B362">
        <v>2311</v>
      </c>
      <c r="C362" s="4" t="str">
        <f>VLOOKUP(B362,الجدول!A:B,2,FALSE)</f>
        <v>Listening and Speaking C</v>
      </c>
      <c r="D362">
        <f>VLOOKUP(B362,الجدول!A:E,5,FALSE)</f>
        <v>4</v>
      </c>
      <c r="E362" t="str">
        <f>VLOOKUP(B362,الجدول!A:D,4,FALSE)</f>
        <v>أ. آية ثابت</v>
      </c>
      <c r="F362" t="str">
        <f>VLOOKUP(B362,الجدول!A:D,3,FALSE)</f>
        <v>الخميس 09:00</v>
      </c>
    </row>
    <row r="363" spans="1:6" x14ac:dyDescent="0.35">
      <c r="A363">
        <v>7400</v>
      </c>
      <c r="B363">
        <v>2402</v>
      </c>
      <c r="C363" s="4" t="str">
        <f>VLOOKUP(B363,الجدول!A:B,2,FALSE)</f>
        <v>Reading Comprehension C</v>
      </c>
      <c r="D363">
        <f>VLOOKUP(B363,الجدول!A:E,5,FALSE)</f>
        <v>3</v>
      </c>
      <c r="E363" t="str">
        <f>VLOOKUP(B363,الجدول!A:D,4,FALSE)</f>
        <v>أ. يونس مصطفى</v>
      </c>
      <c r="F363" t="str">
        <f>VLOOKUP(B363,الجدول!A:D,3,FALSE)</f>
        <v>الإثنين 01:00</v>
      </c>
    </row>
    <row r="364" spans="1:6" x14ac:dyDescent="0.35">
      <c r="A364">
        <v>7400</v>
      </c>
      <c r="B364"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v>7400</v>
      </c>
      <c r="B365">
        <v>2504</v>
      </c>
      <c r="C365" s="4" t="str">
        <f>VLOOKUP(B365,الجدول!A:B,2,FALSE)</f>
        <v>English Grammar C</v>
      </c>
      <c r="D365">
        <f>VLOOKUP(B365,الجدول!A:E,5,FALSE)</f>
        <v>3</v>
      </c>
      <c r="E365" t="str">
        <f>VLOOKUP(B365,الجدول!A:D,4,FALSE)</f>
        <v>أ. أسامة سعد</v>
      </c>
      <c r="F365" t="str">
        <f>VLOOKUP(B365,الجدول!A:D,3,FALSE)</f>
        <v>الإثنين 09:00</v>
      </c>
    </row>
    <row r="366" spans="1:6" x14ac:dyDescent="0.35">
      <c r="A366">
        <v>7400</v>
      </c>
      <c r="B366">
        <v>10101</v>
      </c>
      <c r="C366" s="4" t="str">
        <f>VLOOKUP(B366,الجدول!A:B,2,FALSE)</f>
        <v>علم النفس العام</v>
      </c>
      <c r="D366">
        <f>VLOOKUP(B366,الجدول!A:E,5,FALSE)</f>
        <v>3</v>
      </c>
      <c r="E366">
        <f>VLOOKUP(B366,الجدول!A:D,4,FALSE)</f>
        <v>0</v>
      </c>
      <c r="F366" t="str">
        <f>VLOOKUP(B366,الجدول!A:D,3,FALSE)</f>
        <v>الأحد 11:00</v>
      </c>
    </row>
    <row r="367" spans="1:6" x14ac:dyDescent="0.35">
      <c r="A367">
        <v>7401</v>
      </c>
      <c r="B367">
        <v>3110</v>
      </c>
      <c r="C367" s="4" t="str">
        <f>VLOOKUP(B367,الجدول!A:B,2,FALSE)</f>
        <v>الحضارة العربية الإسلامية</v>
      </c>
      <c r="D367">
        <f>VLOOKUP(B367,الجدول!A:E,5,FALSE)</f>
        <v>3</v>
      </c>
      <c r="E367">
        <f>VLOOKUP(B367,الجدول!A:D,4,FALSE)</f>
        <v>0</v>
      </c>
      <c r="F367" t="str">
        <f>VLOOKUP(B367,الجدول!A:D,3,FALSE)</f>
        <v>الثلاثاء 11:00</v>
      </c>
    </row>
    <row r="368" spans="1:6" x14ac:dyDescent="0.35">
      <c r="A368">
        <v>7401</v>
      </c>
      <c r="B368">
        <v>2303</v>
      </c>
      <c r="C368" s="4" t="str">
        <f>VLOOKUP(B368,الجدول!A:B,2,FALSE)</f>
        <v>Writing B</v>
      </c>
      <c r="D368">
        <f>VLOOKUP(B368,الجدول!A:E,5,FALSE)</f>
        <v>3</v>
      </c>
      <c r="E368" t="str">
        <f>VLOOKUP(B368,الجدول!A:D,4,FALSE)</f>
        <v>أ. خديجة العشيبي</v>
      </c>
      <c r="F368" t="str">
        <f>VLOOKUP(B368,الجدول!A:D,3,FALSE)</f>
        <v>السبت 09:00</v>
      </c>
    </row>
    <row r="369" spans="1:6" x14ac:dyDescent="0.35">
      <c r="A369">
        <v>7401</v>
      </c>
      <c r="B369">
        <v>1102</v>
      </c>
      <c r="C369" s="4" t="str">
        <f>VLOOKUP(B369,الجدول!A:B,2,FALSE)</f>
        <v>التطبيقات اللغوية</v>
      </c>
      <c r="D369">
        <f>VLOOKUP(B369,الجدول!A:E,5,FALSE)</f>
        <v>3</v>
      </c>
      <c r="E369">
        <f>VLOOKUP(B369,الجدول!A:D,4,FALSE)</f>
        <v>0</v>
      </c>
      <c r="F369" t="str">
        <f>VLOOKUP(B369,الجدول!A:D,3,FALSE)</f>
        <v>الثلاثاء 09:00</v>
      </c>
    </row>
    <row r="370" spans="1:6" x14ac:dyDescent="0.35">
      <c r="A370">
        <v>7401</v>
      </c>
      <c r="B370">
        <v>2311</v>
      </c>
      <c r="C370" s="4" t="str">
        <f>VLOOKUP(B370,الجدول!A:B,2,FALSE)</f>
        <v>Listening and Speaking C</v>
      </c>
      <c r="D370">
        <f>VLOOKUP(B370,الجدول!A:E,5,FALSE)</f>
        <v>4</v>
      </c>
      <c r="E370" t="str">
        <f>VLOOKUP(B370,الجدول!A:D,4,FALSE)</f>
        <v>أ. آية ثابت</v>
      </c>
      <c r="F370" t="str">
        <f>VLOOKUP(B370,الجدول!A:D,3,FALSE)</f>
        <v>الخميس 09:00</v>
      </c>
    </row>
    <row r="371" spans="1:6" x14ac:dyDescent="0.35">
      <c r="A371">
        <v>7401</v>
      </c>
      <c r="B371">
        <v>2504</v>
      </c>
      <c r="C371" s="4" t="str">
        <f>VLOOKUP(B371,الجدول!A:B,2,FALSE)</f>
        <v>English Grammar C</v>
      </c>
      <c r="D371">
        <f>VLOOKUP(B371,الجدول!A:E,5,FALSE)</f>
        <v>3</v>
      </c>
      <c r="E371" t="str">
        <f>VLOOKUP(B371,الجدول!A:D,4,FALSE)</f>
        <v>أ. أسامة سعد</v>
      </c>
      <c r="F371" t="str">
        <f>VLOOKUP(B371,الجدول!A:D,3,FALSE)</f>
        <v>الإثنين 09:00</v>
      </c>
    </row>
    <row r="372" spans="1:6" x14ac:dyDescent="0.35">
      <c r="A372">
        <v>7416</v>
      </c>
      <c r="B372">
        <v>1102</v>
      </c>
      <c r="C372" s="4" t="str">
        <f>VLOOKUP(B372,الجدول!A:B,2,FALSE)</f>
        <v>التطبيقات اللغوية</v>
      </c>
      <c r="D372">
        <f>VLOOKUP(B372,الجدول!A:E,5,FALSE)</f>
        <v>3</v>
      </c>
      <c r="E372">
        <f>VLOOKUP(B372,الجدول!A:D,4,FALSE)</f>
        <v>0</v>
      </c>
      <c r="F372" t="str">
        <f>VLOOKUP(B372,الجدول!A:D,3,FALSE)</f>
        <v>الثلاثاء 09:00</v>
      </c>
    </row>
    <row r="373" spans="1:6" x14ac:dyDescent="0.35">
      <c r="A373">
        <v>7416</v>
      </c>
      <c r="B373">
        <v>2311</v>
      </c>
      <c r="C373" s="4" t="str">
        <f>VLOOKUP(B373,الجدول!A:B,2,FALSE)</f>
        <v>Listening and Speaking C</v>
      </c>
      <c r="D373">
        <f>VLOOKUP(B373,الجدول!A:E,5,FALSE)</f>
        <v>4</v>
      </c>
      <c r="E373" t="str">
        <f>VLOOKUP(B373,الجدول!A:D,4,FALSE)</f>
        <v>أ. آية ثابت</v>
      </c>
      <c r="F373" t="str">
        <f>VLOOKUP(B373,الجدول!A:D,3,FALSE)</f>
        <v>الخميس 09:00</v>
      </c>
    </row>
    <row r="374" spans="1:6" x14ac:dyDescent="0.35">
      <c r="A374">
        <v>7416</v>
      </c>
      <c r="B374">
        <v>2402</v>
      </c>
      <c r="C374" s="4" t="str">
        <f>VLOOKUP(B374,الجدول!A:B,2,FALSE)</f>
        <v>Reading Comprehension C</v>
      </c>
      <c r="D374">
        <f>VLOOKUP(B374,الجدول!A:E,5,FALSE)</f>
        <v>3</v>
      </c>
      <c r="E374" t="str">
        <f>VLOOKUP(B374,الجدول!A:D,4,FALSE)</f>
        <v>أ. يونس مصطفى</v>
      </c>
      <c r="F374" t="str">
        <f>VLOOKUP(B374,الجدول!A:D,3,FALSE)</f>
        <v>الإثنين 01:00</v>
      </c>
    </row>
    <row r="375" spans="1:6" x14ac:dyDescent="0.35">
      <c r="A375">
        <v>7416</v>
      </c>
      <c r="B375">
        <v>2313</v>
      </c>
      <c r="C375" s="4" t="str">
        <f>VLOOKUP(B375,الجدول!A:B,2,FALSE)</f>
        <v>Academic Writing</v>
      </c>
      <c r="D375">
        <f>VLOOKUP(B375,الجدول!A:E,5,FALSE)</f>
        <v>4</v>
      </c>
      <c r="E375" t="str">
        <f>VLOOKUP(B375,الجدول!A:D,4,FALSE)</f>
        <v>د. عبدالسلام الرقاص</v>
      </c>
      <c r="F375" t="str">
        <f>VLOOKUP(B375,الجدول!A:D,3,FALSE)</f>
        <v>الإربعاء 11:00</v>
      </c>
    </row>
    <row r="376" spans="1:6" x14ac:dyDescent="0.35">
      <c r="A376">
        <v>7416</v>
      </c>
      <c r="B376">
        <v>2504</v>
      </c>
      <c r="C376" s="4" t="str">
        <f>VLOOKUP(B376,الجدول!A:B,2,FALSE)</f>
        <v>English Grammar C</v>
      </c>
      <c r="D376">
        <f>VLOOKUP(B376,الجدول!A:E,5,FALSE)</f>
        <v>3</v>
      </c>
      <c r="E376" t="str">
        <f>VLOOKUP(B376,الجدول!A:D,4,FALSE)</f>
        <v>أ. أسامة سعد</v>
      </c>
      <c r="F376" t="str">
        <f>VLOOKUP(B376,الجدول!A:D,3,FALSE)</f>
        <v>الإثنين 09:00</v>
      </c>
    </row>
    <row r="377" spans="1:6" x14ac:dyDescent="0.35">
      <c r="A377">
        <v>7418</v>
      </c>
      <c r="B377">
        <v>1102</v>
      </c>
      <c r="C377" s="4" t="str">
        <f>VLOOKUP(B377,الجدول!A:B,2,FALSE)</f>
        <v>التطبيقات اللغوية</v>
      </c>
      <c r="D377">
        <f>VLOOKUP(B377,الجدول!A:E,5,FALSE)</f>
        <v>3</v>
      </c>
      <c r="E377">
        <f>VLOOKUP(B377,الجدول!A:D,4,FALSE)</f>
        <v>0</v>
      </c>
      <c r="F377" t="str">
        <f>VLOOKUP(B377,الجدول!A:D,3,FALSE)</f>
        <v>الثلاثاء 09:00</v>
      </c>
    </row>
    <row r="378" spans="1:6" x14ac:dyDescent="0.35">
      <c r="A378">
        <v>7418</v>
      </c>
      <c r="B378">
        <v>2311</v>
      </c>
      <c r="C378" s="4" t="str">
        <f>VLOOKUP(B378,الجدول!A:B,2,FALSE)</f>
        <v>Listening and Speaking C</v>
      </c>
      <c r="D378">
        <f>VLOOKUP(B378,الجدول!A:E,5,FALSE)</f>
        <v>4</v>
      </c>
      <c r="E378" t="str">
        <f>VLOOKUP(B378,الجدول!A:D,4,FALSE)</f>
        <v>أ. آية ثابت</v>
      </c>
      <c r="F378" t="str">
        <f>VLOOKUP(B378,الجدول!A:D,3,FALSE)</f>
        <v>الخميس 09:00</v>
      </c>
    </row>
    <row r="379" spans="1:6" x14ac:dyDescent="0.35">
      <c r="A379">
        <v>7418</v>
      </c>
      <c r="B379">
        <v>2402</v>
      </c>
      <c r="C379" s="4" t="str">
        <f>VLOOKUP(B379,الجدول!A:B,2,FALSE)</f>
        <v>Reading Comprehension C</v>
      </c>
      <c r="D379">
        <f>VLOOKUP(B379,الجدول!A:E,5,FALSE)</f>
        <v>3</v>
      </c>
      <c r="E379" t="str">
        <f>VLOOKUP(B379,الجدول!A:D,4,FALSE)</f>
        <v>أ. يونس مصطفى</v>
      </c>
      <c r="F379" t="str">
        <f>VLOOKUP(B379,الجدول!A:D,3,FALSE)</f>
        <v>الإثنين 01:00</v>
      </c>
    </row>
    <row r="380" spans="1:6" x14ac:dyDescent="0.35">
      <c r="A380">
        <v>7418</v>
      </c>
      <c r="B380">
        <v>2313</v>
      </c>
      <c r="C380" s="4" t="str">
        <f>VLOOKUP(B380,الجدول!A:B,2,FALSE)</f>
        <v>Academic Writing</v>
      </c>
      <c r="D380">
        <f>VLOOKUP(B380,الجدول!A:E,5,FALSE)</f>
        <v>4</v>
      </c>
      <c r="E380" t="str">
        <f>VLOOKUP(B380,الجدول!A:D,4,FALSE)</f>
        <v>د. عبدالسلام الرقاص</v>
      </c>
      <c r="F380" t="str">
        <f>VLOOKUP(B380,الجدول!A:D,3,FALSE)</f>
        <v>الإربعاء 11:00</v>
      </c>
    </row>
    <row r="381" spans="1:6" x14ac:dyDescent="0.35">
      <c r="A381">
        <v>7418</v>
      </c>
      <c r="B381">
        <v>2504</v>
      </c>
      <c r="C381" s="4" t="str">
        <f>VLOOKUP(B381,الجدول!A:B,2,FALSE)</f>
        <v>English Grammar C</v>
      </c>
      <c r="D381">
        <f>VLOOKUP(B381,الجدول!A:E,5,FALSE)</f>
        <v>3</v>
      </c>
      <c r="E381" t="str">
        <f>VLOOKUP(B381,الجدول!A:D,4,FALSE)</f>
        <v>أ. أسامة سعد</v>
      </c>
      <c r="F381" t="str">
        <f>VLOOKUP(B381,الجدول!A:D,3,FALSE)</f>
        <v>الإثنين 09:00</v>
      </c>
    </row>
    <row r="382" spans="1:6" x14ac:dyDescent="0.35">
      <c r="A382">
        <v>7437</v>
      </c>
      <c r="B382">
        <v>2112</v>
      </c>
      <c r="C382" s="4" t="str">
        <f>VLOOKUP(B382,الجدول!A:B,2,FALSE)</f>
        <v>Reading Comprehension A</v>
      </c>
      <c r="D382">
        <f>VLOOKUP(B382,الجدول!A:E,5,FALSE)</f>
        <v>3</v>
      </c>
      <c r="E382" t="str">
        <f>VLOOKUP(B382,الجدول!A:D,4,FALSE)</f>
        <v>أ. يونس مصطفى</v>
      </c>
      <c r="F382" t="str">
        <f>VLOOKUP(B382,الجدول!A:D,3,FALSE)</f>
        <v>الإثنين 09:00</v>
      </c>
    </row>
    <row r="383" spans="1:6" x14ac:dyDescent="0.35">
      <c r="A383">
        <v>7437</v>
      </c>
      <c r="B383">
        <v>2113</v>
      </c>
      <c r="C383" s="4" t="str">
        <f>VLOOKUP(B383,الجدول!A:B,2,FALSE)</f>
        <v>Writing A</v>
      </c>
      <c r="D383">
        <f>VLOOKUP(B383,الجدول!A:E,5,FALSE)</f>
        <v>3</v>
      </c>
      <c r="E383" t="str">
        <f>VLOOKUP(B383,الجدول!A:D,4,FALSE)</f>
        <v>أ.  فرج مالك</v>
      </c>
      <c r="F383" t="str">
        <f>VLOOKUP(B383,الجدول!A:D,3,FALSE)</f>
        <v>السبت 11:00</v>
      </c>
    </row>
    <row r="384" spans="1:6" x14ac:dyDescent="0.35">
      <c r="A384">
        <v>7437</v>
      </c>
      <c r="B384">
        <v>10101</v>
      </c>
      <c r="C384" s="4" t="str">
        <f>VLOOKUP(B384,الجدول!A:B,2,FALSE)</f>
        <v>علم النفس العام</v>
      </c>
      <c r="D384">
        <f>VLOOKUP(B384,الجدول!A:E,5,FALSE)</f>
        <v>3</v>
      </c>
      <c r="E384">
        <f>VLOOKUP(B384,الجدول!A:D,4,FALSE)</f>
        <v>0</v>
      </c>
      <c r="F384" t="str">
        <f>VLOOKUP(B384,الجدول!A:D,3,FALSE)</f>
        <v>الأحد 11:00</v>
      </c>
    </row>
    <row r="385" spans="1:6" x14ac:dyDescent="0.35">
      <c r="A385">
        <v>7437</v>
      </c>
      <c r="B385">
        <v>2304</v>
      </c>
      <c r="C385" s="4" t="str">
        <f>VLOOKUP(B385,الجدول!A:B,2,FALSE)</f>
        <v>English Grammar B</v>
      </c>
      <c r="D385">
        <f>VLOOKUP(B385,الجدول!A:E,5,FALSE)</f>
        <v>3</v>
      </c>
      <c r="E385" t="str">
        <f>VLOOKUP(B385,الجدول!A:D,4,FALSE)</f>
        <v>د. عبدالسلام الرقاص</v>
      </c>
      <c r="F385" t="str">
        <f>VLOOKUP(B385,الجدول!A:D,3,FALSE)</f>
        <v>الإربعاء 09:00</v>
      </c>
    </row>
    <row r="386" spans="1:6" x14ac:dyDescent="0.35">
      <c r="A386">
        <v>7437</v>
      </c>
      <c r="B386">
        <v>1102</v>
      </c>
      <c r="C386" s="4" t="str">
        <f>VLOOKUP(B386,الجدول!A:B,2,FALSE)</f>
        <v>التطبيقات اللغوية</v>
      </c>
      <c r="D386">
        <f>VLOOKUP(B386,الجدول!A:E,5,FALSE)</f>
        <v>3</v>
      </c>
      <c r="E386">
        <f>VLOOKUP(B386,الجدول!A:D,4,FALSE)</f>
        <v>0</v>
      </c>
      <c r="F386" t="str">
        <f>VLOOKUP(B386,الجدول!A:D,3,FALSE)</f>
        <v>الثلاثاء 09:00</v>
      </c>
    </row>
    <row r="387" spans="1:6" x14ac:dyDescent="0.35">
      <c r="A387">
        <v>7463</v>
      </c>
      <c r="B387">
        <v>2111</v>
      </c>
      <c r="C387" s="4" t="str">
        <f>VLOOKUP(B387,الجدول!A:B,2,FALSE)</f>
        <v>Listening and Speaking A</v>
      </c>
      <c r="D387">
        <f>VLOOKUP(B387,الجدول!A:E,5,FALSE)</f>
        <v>4</v>
      </c>
      <c r="E387" t="str">
        <f>VLOOKUP(B387,الجدول!A:D,4,FALSE)</f>
        <v>أ. يونس مصطفى</v>
      </c>
      <c r="F387" t="str">
        <f>VLOOKUP(B387,الجدول!A:D,3,FALSE)</f>
        <v>الإثنين 11:00</v>
      </c>
    </row>
    <row r="388" spans="1:6" x14ac:dyDescent="0.35">
      <c r="A388">
        <v>7463</v>
      </c>
      <c r="B388">
        <v>2112</v>
      </c>
      <c r="C388" s="4" t="str">
        <f>VLOOKUP(B388,الجدول!A:B,2,FALSE)</f>
        <v>Reading Comprehension A</v>
      </c>
      <c r="D388">
        <f>VLOOKUP(B388,الجدول!A:E,5,FALSE)</f>
        <v>3</v>
      </c>
      <c r="E388" t="str">
        <f>VLOOKUP(B388,الجدول!A:D,4,FALSE)</f>
        <v>أ. يونس مصطفى</v>
      </c>
      <c r="F388" t="str">
        <f>VLOOKUP(B388,الجدول!A:D,3,FALSE)</f>
        <v>الإثنين 09:00</v>
      </c>
    </row>
    <row r="389" spans="1:6" x14ac:dyDescent="0.35">
      <c r="A389">
        <v>7463</v>
      </c>
      <c r="B389">
        <v>2303</v>
      </c>
      <c r="C389" s="4" t="str">
        <f>VLOOKUP(B389,الجدول!A:B,2,FALSE)</f>
        <v>Writing B</v>
      </c>
      <c r="D389">
        <f>VLOOKUP(B389,الجدول!A:E,5,FALSE)</f>
        <v>3</v>
      </c>
      <c r="E389" t="str">
        <f>VLOOKUP(B389,الجدول!A:D,4,FALSE)</f>
        <v>أ. خديجة العشيبي</v>
      </c>
      <c r="F389" t="str">
        <f>VLOOKUP(B389,الجدول!A:D,3,FALSE)</f>
        <v>السبت 09:00</v>
      </c>
    </row>
    <row r="390" spans="1:6" x14ac:dyDescent="0.35">
      <c r="A390">
        <v>7463</v>
      </c>
      <c r="B390">
        <v>2304</v>
      </c>
      <c r="C390" s="4" t="str">
        <f>VLOOKUP(B390,الجدول!A:B,2,FALSE)</f>
        <v>English Grammar B</v>
      </c>
      <c r="D390">
        <f>VLOOKUP(B390,الجدول!A:E,5,FALSE)</f>
        <v>3</v>
      </c>
      <c r="E390" t="str">
        <f>VLOOKUP(B390,الجدول!A:D,4,FALSE)</f>
        <v>د. عبدالسلام الرقاص</v>
      </c>
      <c r="F390" t="str">
        <f>VLOOKUP(B390,الجدول!A:D,3,FALSE)</f>
        <v>الإربعاء 09:00</v>
      </c>
    </row>
    <row r="391" spans="1:6" x14ac:dyDescent="0.35">
      <c r="A391">
        <v>7463</v>
      </c>
      <c r="B391">
        <v>1102</v>
      </c>
      <c r="C391" s="4" t="str">
        <f>VLOOKUP(B391,الجدول!A:B,2,FALSE)</f>
        <v>التطبيقات اللغوية</v>
      </c>
      <c r="D391">
        <f>VLOOKUP(B391,الجدول!A:E,5,FALSE)</f>
        <v>3</v>
      </c>
      <c r="E391">
        <f>VLOOKUP(B391,الجدول!A:D,4,FALSE)</f>
        <v>0</v>
      </c>
      <c r="F391" t="str">
        <f>VLOOKUP(B391,الجدول!A:D,3,FALSE)</f>
        <v>الثلاثاء 09:00</v>
      </c>
    </row>
    <row r="392" spans="1:6" x14ac:dyDescent="0.35">
      <c r="A392">
        <v>7464</v>
      </c>
      <c r="B392">
        <v>2111</v>
      </c>
      <c r="C392" s="4" t="str">
        <f>VLOOKUP(B392,الجدول!A:B,2,FALSE)</f>
        <v>Listening and Speaking A</v>
      </c>
      <c r="D392">
        <f>VLOOKUP(B392,الجدول!A:E,5,FALSE)</f>
        <v>4</v>
      </c>
      <c r="E392" t="str">
        <f>VLOOKUP(B392,الجدول!A:D,4,FALSE)</f>
        <v>أ. يونس مصطفى</v>
      </c>
      <c r="F392" t="str">
        <f>VLOOKUP(B392,الجدول!A:D,3,FALSE)</f>
        <v>الإثنين 11:00</v>
      </c>
    </row>
    <row r="393" spans="1:6" x14ac:dyDescent="0.35">
      <c r="A393">
        <v>7464</v>
      </c>
      <c r="B393">
        <v>2112</v>
      </c>
      <c r="C393" s="4" t="str">
        <f>VLOOKUP(B393,الجدول!A:B,2,FALSE)</f>
        <v>Reading Comprehension A</v>
      </c>
      <c r="D393">
        <f>VLOOKUP(B393,الجدول!A:E,5,FALSE)</f>
        <v>3</v>
      </c>
      <c r="E393" t="str">
        <f>VLOOKUP(B393,الجدول!A:D,4,FALSE)</f>
        <v>أ. يونس مصطفى</v>
      </c>
      <c r="F393" t="str">
        <f>VLOOKUP(B393,الجدول!A:D,3,FALSE)</f>
        <v>الإثنين 09:00</v>
      </c>
    </row>
    <row r="394" spans="1:6" x14ac:dyDescent="0.35">
      <c r="A394">
        <v>7464</v>
      </c>
      <c r="B394">
        <v>2303</v>
      </c>
      <c r="C394" s="4" t="str">
        <f>VLOOKUP(B394,الجدول!A:B,2,FALSE)</f>
        <v>Writing B</v>
      </c>
      <c r="D394">
        <f>VLOOKUP(B394,الجدول!A:E,5,FALSE)</f>
        <v>3</v>
      </c>
      <c r="E394" t="str">
        <f>VLOOKUP(B394,الجدول!A:D,4,FALSE)</f>
        <v>أ. خديجة العشيبي</v>
      </c>
      <c r="F394" t="str">
        <f>VLOOKUP(B394,الجدول!A:D,3,FALSE)</f>
        <v>السبت 09:00</v>
      </c>
    </row>
    <row r="395" spans="1:6" x14ac:dyDescent="0.35">
      <c r="A395">
        <v>7464</v>
      </c>
      <c r="B395">
        <v>2304</v>
      </c>
      <c r="C395" s="4" t="str">
        <f>VLOOKUP(B395,الجدول!A:B,2,FALSE)</f>
        <v>English Grammar B</v>
      </c>
      <c r="D395">
        <f>VLOOKUP(B395,الجدول!A:E,5,FALSE)</f>
        <v>3</v>
      </c>
      <c r="E395" t="str">
        <f>VLOOKUP(B395,الجدول!A:D,4,FALSE)</f>
        <v>د. عبدالسلام الرقاص</v>
      </c>
      <c r="F395" t="str">
        <f>VLOOKUP(B395,الجدول!A:D,3,FALSE)</f>
        <v>الإربعاء 09:00</v>
      </c>
    </row>
    <row r="396" spans="1:6" x14ac:dyDescent="0.35">
      <c r="A396">
        <v>7464</v>
      </c>
      <c r="B396">
        <v>1102</v>
      </c>
      <c r="C396" s="4" t="str">
        <f>VLOOKUP(B396,الجدول!A:B,2,FALSE)</f>
        <v>التطبيقات اللغوية</v>
      </c>
      <c r="D396">
        <f>VLOOKUP(B396,الجدول!A:E,5,FALSE)</f>
        <v>3</v>
      </c>
      <c r="E396">
        <f>VLOOKUP(B396,الجدول!A:D,4,FALSE)</f>
        <v>0</v>
      </c>
      <c r="F396" t="str">
        <f>VLOOKUP(B396,الجدول!A:D,3,FALSE)</f>
        <v>الثلاثاء 09:00</v>
      </c>
    </row>
    <row r="397" spans="1:6" x14ac:dyDescent="0.35">
      <c r="A397">
        <v>7466</v>
      </c>
      <c r="B397">
        <v>2111</v>
      </c>
      <c r="C397" s="4" t="str">
        <f>VLOOKUP(B397,الجدول!A:B,2,FALSE)</f>
        <v>Listening and Speaking A</v>
      </c>
      <c r="D397">
        <f>VLOOKUP(B397,الجدول!A:E,5,FALSE)</f>
        <v>4</v>
      </c>
      <c r="E397" t="str">
        <f>VLOOKUP(B397,الجدول!A:D,4,FALSE)</f>
        <v>أ. يونس مصطفى</v>
      </c>
      <c r="F397" t="str">
        <f>VLOOKUP(B397,الجدول!A:D,3,FALSE)</f>
        <v>الإثنين 11:00</v>
      </c>
    </row>
    <row r="398" spans="1:6" x14ac:dyDescent="0.35">
      <c r="A398">
        <v>7466</v>
      </c>
      <c r="B398">
        <v>2112</v>
      </c>
      <c r="C398" s="4" t="str">
        <f>VLOOKUP(B398,الجدول!A:B,2,FALSE)</f>
        <v>Reading Comprehension A</v>
      </c>
      <c r="D398">
        <f>VLOOKUP(B398,الجدول!A:E,5,FALSE)</f>
        <v>3</v>
      </c>
      <c r="E398" t="str">
        <f>VLOOKUP(B398,الجدول!A:D,4,FALSE)</f>
        <v>أ. يونس مصطفى</v>
      </c>
      <c r="F398" t="str">
        <f>VLOOKUP(B398,الجدول!A:D,3,FALSE)</f>
        <v>الإثنين 09:00</v>
      </c>
    </row>
    <row r="399" spans="1:6" x14ac:dyDescent="0.35">
      <c r="A399">
        <v>7466</v>
      </c>
      <c r="B399">
        <v>2113</v>
      </c>
      <c r="C399" s="4" t="str">
        <f>VLOOKUP(B399,الجدول!A:B,2,FALSE)</f>
        <v>Writing A</v>
      </c>
      <c r="D399">
        <f>VLOOKUP(B399,الجدول!A:E,5,FALSE)</f>
        <v>3</v>
      </c>
      <c r="E399" t="str">
        <f>VLOOKUP(B399,الجدول!A:D,4,FALSE)</f>
        <v>أ.  فرج مالك</v>
      </c>
      <c r="F399" t="str">
        <f>VLOOKUP(B399,الجدول!A:D,3,FALSE)</f>
        <v>السبت 11:00</v>
      </c>
    </row>
    <row r="400" spans="1:6" x14ac:dyDescent="0.35">
      <c r="A400">
        <v>7466</v>
      </c>
      <c r="B400">
        <v>2114</v>
      </c>
      <c r="C400" s="4" t="str">
        <f>VLOOKUP(B400,الجدول!A:B,2,FALSE)</f>
        <v>English Grammar A</v>
      </c>
      <c r="D400">
        <f>VLOOKUP(B400,الجدول!A:E,5,FALSE)</f>
        <v>3</v>
      </c>
      <c r="E400" t="str">
        <f>VLOOKUP(B400,الجدول!A:D,4,FALSE)</f>
        <v>أ. الشريف الملاح</v>
      </c>
      <c r="F400" t="str">
        <f>VLOOKUP(B400,الجدول!A:D,3,FALSE)</f>
        <v>الخميس 11:00</v>
      </c>
    </row>
    <row r="401" spans="1:6" x14ac:dyDescent="0.35">
      <c r="A401">
        <v>7466</v>
      </c>
      <c r="B401">
        <v>1102</v>
      </c>
      <c r="C401" s="4" t="str">
        <f>VLOOKUP(B401,الجدول!A:B,2,FALSE)</f>
        <v>التطبيقات اللغوية</v>
      </c>
      <c r="D401">
        <f>VLOOKUP(B401,الجدول!A:E,5,FALSE)</f>
        <v>3</v>
      </c>
      <c r="E401">
        <f>VLOOKUP(B401,الجدول!A:D,4,FALSE)</f>
        <v>0</v>
      </c>
      <c r="F401" t="str">
        <f>VLOOKUP(B401,الجدول!A:D,3,FALSE)</f>
        <v>الثلاثاء 09:00</v>
      </c>
    </row>
    <row r="402" spans="1:6" x14ac:dyDescent="0.35">
      <c r="A402">
        <v>4916</v>
      </c>
      <c r="B402">
        <v>2</v>
      </c>
      <c r="C402" s="4" t="e">
        <f>VLOOKUP(B402,الجدول!A:B,2,FALSE)</f>
        <v>#N/A</v>
      </c>
      <c r="D402" t="e">
        <f>VLOOKUP(B402,الجدول!A:E,5,FALSE)</f>
        <v>#N/A</v>
      </c>
      <c r="E402" t="e">
        <f>VLOOKUP(B402,الجدول!A:D,4,FALSE)</f>
        <v>#N/A</v>
      </c>
      <c r="F402" t="e">
        <f>VLOOKUP(B402,الجدول!A:D,3,FALSE)</f>
        <v>#N/A</v>
      </c>
    </row>
    <row r="403" spans="1:6" x14ac:dyDescent="0.35">
      <c r="A403">
        <v>4916</v>
      </c>
      <c r="B403" t="s">
        <v>107</v>
      </c>
      <c r="C403" s="4" t="e">
        <f>VLOOKUP(B403,الجدول!A:B,2,FALSE)</f>
        <v>#N/A</v>
      </c>
      <c r="D403" t="e">
        <f>VLOOKUP(B403,الجدول!A:E,5,FALSE)</f>
        <v>#N/A</v>
      </c>
      <c r="E403" t="e">
        <f>VLOOKUP(B403,الجدول!A:D,4,FALSE)</f>
        <v>#N/A</v>
      </c>
      <c r="F403" t="e">
        <f>VLOOKUP(B403,الجدول!A:D,3,FALSE)</f>
        <v>#N/A</v>
      </c>
    </row>
    <row r="404" spans="1:6" x14ac:dyDescent="0.35">
      <c r="A404">
        <v>4916</v>
      </c>
      <c r="B404" t="s">
        <v>108</v>
      </c>
      <c r="C404" s="4" t="e">
        <f>VLOOKUP(B404,الجدول!A:B,2,FALSE)</f>
        <v>#N/A</v>
      </c>
      <c r="D404" t="e">
        <f>VLOOKUP(B404,الجدول!A:E,5,FALSE)</f>
        <v>#N/A</v>
      </c>
      <c r="E404" t="e">
        <f>VLOOKUP(B404,الجدول!A:D,4,FALSE)</f>
        <v>#N/A</v>
      </c>
      <c r="F404" t="e">
        <f>VLOOKUP(B404,الجدول!A:D,3,FALSE)</f>
        <v>#N/A</v>
      </c>
    </row>
    <row r="405" spans="1:6" x14ac:dyDescent="0.35">
      <c r="A405">
        <v>4916</v>
      </c>
      <c r="B405" t="s">
        <v>109</v>
      </c>
      <c r="C405" s="4" t="e">
        <f>VLOOKUP(B405,الجدول!A:B,2,FALSE)</f>
        <v>#N/A</v>
      </c>
      <c r="D405" t="e">
        <f>VLOOKUP(B405,الجدول!A:E,5,FALSE)</f>
        <v>#N/A</v>
      </c>
      <c r="E405" t="e">
        <f>VLOOKUP(B405,الجدول!A:D,4,FALSE)</f>
        <v>#N/A</v>
      </c>
      <c r="F405" t="e">
        <f>VLOOKUP(B405,الجدول!A:D,3,FALSE)</f>
        <v>#N/A</v>
      </c>
    </row>
    <row r="406" spans="1:6" x14ac:dyDescent="0.35">
      <c r="A406">
        <v>5136</v>
      </c>
      <c r="B406">
        <v>2</v>
      </c>
      <c r="C406" s="4" t="e">
        <f>VLOOKUP(B406,الجدول!A:B,2,FALSE)</f>
        <v>#N/A</v>
      </c>
      <c r="D406" t="e">
        <f>VLOOKUP(B406,الجدول!A:E,5,FALSE)</f>
        <v>#N/A</v>
      </c>
      <c r="E406" t="e">
        <f>VLOOKUP(B406,الجدول!A:D,4,FALSE)</f>
        <v>#N/A</v>
      </c>
      <c r="F406" t="e">
        <f>VLOOKUP(B406,الجدول!A:D,3,FALSE)</f>
        <v>#N/A</v>
      </c>
    </row>
    <row r="407" spans="1:6" x14ac:dyDescent="0.35">
      <c r="A407">
        <v>5136</v>
      </c>
      <c r="B407" t="s">
        <v>107</v>
      </c>
      <c r="C407" s="4" t="e">
        <f>VLOOKUP(B407,الجدول!A:B,2,FALSE)</f>
        <v>#N/A</v>
      </c>
      <c r="D407" t="e">
        <f>VLOOKUP(B407,الجدول!A:E,5,FALSE)</f>
        <v>#N/A</v>
      </c>
      <c r="E407" t="e">
        <f>VLOOKUP(B407,الجدول!A:D,4,FALSE)</f>
        <v>#N/A</v>
      </c>
      <c r="F407" t="e">
        <f>VLOOKUP(B407,الجدول!A:D,3,FALSE)</f>
        <v>#N/A</v>
      </c>
    </row>
    <row r="408" spans="1:6" x14ac:dyDescent="0.35">
      <c r="A408">
        <v>5136</v>
      </c>
      <c r="B408" t="s">
        <v>108</v>
      </c>
      <c r="C408" s="4" t="e">
        <f>VLOOKUP(B408,الجدول!A:B,2,FALSE)</f>
        <v>#N/A</v>
      </c>
      <c r="D408" t="e">
        <f>VLOOKUP(B408,الجدول!A:E,5,FALSE)</f>
        <v>#N/A</v>
      </c>
      <c r="E408" t="e">
        <f>VLOOKUP(B408,الجدول!A:D,4,FALSE)</f>
        <v>#N/A</v>
      </c>
      <c r="F408" t="e">
        <f>VLOOKUP(B408,الجدول!A:D,3,FALSE)</f>
        <v>#N/A</v>
      </c>
    </row>
    <row r="409" spans="1:6" x14ac:dyDescent="0.35">
      <c r="A409">
        <v>5136</v>
      </c>
      <c r="B409" t="s">
        <v>109</v>
      </c>
      <c r="C409" s="4" t="e">
        <f>VLOOKUP(B409,الجدول!A:B,2,FALSE)</f>
        <v>#N/A</v>
      </c>
      <c r="D409" t="e">
        <f>VLOOKUP(B409,الجدول!A:E,5,FALSE)</f>
        <v>#N/A</v>
      </c>
      <c r="E409" t="e">
        <f>VLOOKUP(B409,الجدول!A:D,4,FALSE)</f>
        <v>#N/A</v>
      </c>
      <c r="F409" t="e">
        <f>VLOOKUP(B409,الجدول!A:D,3,FALSE)</f>
        <v>#N/A</v>
      </c>
    </row>
    <row r="410" spans="1:6" x14ac:dyDescent="0.35">
      <c r="A410">
        <v>5280</v>
      </c>
      <c r="B410">
        <v>2</v>
      </c>
      <c r="C410" s="4" t="e">
        <f>VLOOKUP(B410,الجدول!A:B,2,FALSE)</f>
        <v>#N/A</v>
      </c>
      <c r="D410" t="e">
        <f>VLOOKUP(B410,الجدول!A:E,5,FALSE)</f>
        <v>#N/A</v>
      </c>
      <c r="E410" t="e">
        <f>VLOOKUP(B410,الجدول!A:D,4,FALSE)</f>
        <v>#N/A</v>
      </c>
      <c r="F410" t="e">
        <f>VLOOKUP(B410,الجدول!A:D,3,FALSE)</f>
        <v>#N/A</v>
      </c>
    </row>
    <row r="411" spans="1:6" x14ac:dyDescent="0.35">
      <c r="A411">
        <v>5280</v>
      </c>
      <c r="B411" t="s">
        <v>107</v>
      </c>
      <c r="C411" s="4" t="e">
        <f>VLOOKUP(B411,الجدول!A:B,2,FALSE)</f>
        <v>#N/A</v>
      </c>
      <c r="D411" t="e">
        <f>VLOOKUP(B411,الجدول!A:E,5,FALSE)</f>
        <v>#N/A</v>
      </c>
      <c r="E411" t="e">
        <f>VLOOKUP(B411,الجدول!A:D,4,FALSE)</f>
        <v>#N/A</v>
      </c>
      <c r="F411" t="e">
        <f>VLOOKUP(B411,الجدول!A:D,3,FALSE)</f>
        <v>#N/A</v>
      </c>
    </row>
    <row r="412" spans="1:6" x14ac:dyDescent="0.35">
      <c r="A412">
        <v>5280</v>
      </c>
      <c r="B412" t="s">
        <v>108</v>
      </c>
      <c r="C412" s="4" t="e">
        <f>VLOOKUP(B412,الجدول!A:B,2,FALSE)</f>
        <v>#N/A</v>
      </c>
      <c r="D412" t="e">
        <f>VLOOKUP(B412,الجدول!A:E,5,FALSE)</f>
        <v>#N/A</v>
      </c>
      <c r="E412" t="e">
        <f>VLOOKUP(B412,الجدول!A:D,4,FALSE)</f>
        <v>#N/A</v>
      </c>
      <c r="F412" t="e">
        <f>VLOOKUP(B412,الجدول!A:D,3,FALSE)</f>
        <v>#N/A</v>
      </c>
    </row>
    <row r="413" spans="1:6" x14ac:dyDescent="0.35">
      <c r="A413">
        <v>5280</v>
      </c>
      <c r="B413" t="s">
        <v>109</v>
      </c>
      <c r="C413" s="4" t="e">
        <f>VLOOKUP(B413,الجدول!A:B,2,FALSE)</f>
        <v>#N/A</v>
      </c>
      <c r="D413" t="e">
        <f>VLOOKUP(B413,الجدول!A:E,5,FALSE)</f>
        <v>#N/A</v>
      </c>
      <c r="E413" t="e">
        <f>VLOOKUP(B413,الجدول!A:D,4,FALSE)</f>
        <v>#N/A</v>
      </c>
      <c r="F413" t="e">
        <f>VLOOKUP(B413,الجدول!A:D,3,FALSE)</f>
        <v>#N/A</v>
      </c>
    </row>
    <row r="414" spans="1:6" x14ac:dyDescent="0.35">
      <c r="A414">
        <v>5833</v>
      </c>
      <c r="B414">
        <v>2</v>
      </c>
      <c r="C414" s="4" t="e">
        <f>VLOOKUP(B414,الجدول!A:B,2,FALSE)</f>
        <v>#N/A</v>
      </c>
      <c r="D414" t="e">
        <f>VLOOKUP(B414,الجدول!A:E,5,FALSE)</f>
        <v>#N/A</v>
      </c>
      <c r="E414" t="e">
        <f>VLOOKUP(B414,الجدول!A:D,4,FALSE)</f>
        <v>#N/A</v>
      </c>
      <c r="F414" t="e">
        <f>VLOOKUP(B414,الجدول!A:D,3,FALSE)</f>
        <v>#N/A</v>
      </c>
    </row>
    <row r="415" spans="1:6" x14ac:dyDescent="0.35">
      <c r="A415">
        <v>5833</v>
      </c>
      <c r="B415" t="s">
        <v>107</v>
      </c>
      <c r="C415" s="4" t="e">
        <f>VLOOKUP(B415,الجدول!A:B,2,FALSE)</f>
        <v>#N/A</v>
      </c>
      <c r="D415" t="e">
        <f>VLOOKUP(B415,الجدول!A:E,5,FALSE)</f>
        <v>#N/A</v>
      </c>
      <c r="E415" t="e">
        <f>VLOOKUP(B415,الجدول!A:D,4,FALSE)</f>
        <v>#N/A</v>
      </c>
      <c r="F415" t="e">
        <f>VLOOKUP(B415,الجدول!A:D,3,FALSE)</f>
        <v>#N/A</v>
      </c>
    </row>
    <row r="416" spans="1:6" x14ac:dyDescent="0.35">
      <c r="A416">
        <v>5833</v>
      </c>
      <c r="B416" t="s">
        <v>108</v>
      </c>
      <c r="C416" s="4" t="e">
        <f>VLOOKUP(B416,الجدول!A:B,2,FALSE)</f>
        <v>#N/A</v>
      </c>
      <c r="D416" t="e">
        <f>VLOOKUP(B416,الجدول!A:E,5,FALSE)</f>
        <v>#N/A</v>
      </c>
      <c r="E416" t="e">
        <f>VLOOKUP(B416,الجدول!A:D,4,FALSE)</f>
        <v>#N/A</v>
      </c>
      <c r="F416" t="e">
        <f>VLOOKUP(B416,الجدول!A:D,3,FALSE)</f>
        <v>#N/A</v>
      </c>
    </row>
    <row r="417" spans="1:6" x14ac:dyDescent="0.35">
      <c r="A417">
        <v>5833</v>
      </c>
      <c r="B417" t="s">
        <v>109</v>
      </c>
      <c r="C417" s="4" t="e">
        <f>VLOOKUP(B417,الجدول!A:B,2,FALSE)</f>
        <v>#N/A</v>
      </c>
      <c r="D417" t="e">
        <f>VLOOKUP(B417,الجدول!A:E,5,FALSE)</f>
        <v>#N/A</v>
      </c>
      <c r="E417" t="e">
        <f>VLOOKUP(B417,الجدول!A:D,4,FALSE)</f>
        <v>#N/A</v>
      </c>
      <c r="F417" t="e">
        <f>VLOOKUP(B417,الجدول!A:D,3,FALSE)</f>
        <v>#N/A</v>
      </c>
    </row>
    <row r="418" spans="1:6" x14ac:dyDescent="0.35">
      <c r="A418">
        <v>5945</v>
      </c>
      <c r="B418">
        <v>2</v>
      </c>
      <c r="C418" s="4" t="e">
        <f>VLOOKUP(B418,الجدول!A:B,2,FALSE)</f>
        <v>#N/A</v>
      </c>
      <c r="D418" t="e">
        <f>VLOOKUP(B418,الجدول!A:E,5,FALSE)</f>
        <v>#N/A</v>
      </c>
      <c r="E418" t="e">
        <f>VLOOKUP(B418,الجدول!A:D,4,FALSE)</f>
        <v>#N/A</v>
      </c>
      <c r="F418" t="e">
        <f>VLOOKUP(B418,الجدول!A:D,3,FALSE)</f>
        <v>#N/A</v>
      </c>
    </row>
    <row r="419" spans="1:6" x14ac:dyDescent="0.35">
      <c r="A419">
        <v>5945</v>
      </c>
      <c r="B419" t="s">
        <v>107</v>
      </c>
      <c r="C419" s="4" t="e">
        <f>VLOOKUP(B419,الجدول!A:B,2,FALSE)</f>
        <v>#N/A</v>
      </c>
      <c r="D419" t="e">
        <f>VLOOKUP(B419,الجدول!A:E,5,FALSE)</f>
        <v>#N/A</v>
      </c>
      <c r="E419" t="e">
        <f>VLOOKUP(B419,الجدول!A:D,4,FALSE)</f>
        <v>#N/A</v>
      </c>
      <c r="F419" t="e">
        <f>VLOOKUP(B419,الجدول!A:D,3,FALSE)</f>
        <v>#N/A</v>
      </c>
    </row>
    <row r="420" spans="1:6" x14ac:dyDescent="0.35">
      <c r="A420">
        <v>5945</v>
      </c>
      <c r="B420" t="s">
        <v>108</v>
      </c>
      <c r="C420" s="4" t="e">
        <f>VLOOKUP(B420,الجدول!A:B,2,FALSE)</f>
        <v>#N/A</v>
      </c>
      <c r="D420" t="e">
        <f>VLOOKUP(B420,الجدول!A:E,5,FALSE)</f>
        <v>#N/A</v>
      </c>
      <c r="E420" t="e">
        <f>VLOOKUP(B420,الجدول!A:D,4,FALSE)</f>
        <v>#N/A</v>
      </c>
      <c r="F420" t="e">
        <f>VLOOKUP(B420,الجدول!A:D,3,FALSE)</f>
        <v>#N/A</v>
      </c>
    </row>
    <row r="421" spans="1:6" x14ac:dyDescent="0.35">
      <c r="A421">
        <v>5945</v>
      </c>
      <c r="B421" t="s">
        <v>109</v>
      </c>
      <c r="C421" s="4" t="e">
        <f>VLOOKUP(B421,الجدول!A:B,2,FALSE)</f>
        <v>#N/A</v>
      </c>
      <c r="D421" t="e">
        <f>VLOOKUP(B421,الجدول!A:E,5,FALSE)</f>
        <v>#N/A</v>
      </c>
      <c r="E421" t="e">
        <f>VLOOKUP(B421,الجدول!A:D,4,FALSE)</f>
        <v>#N/A</v>
      </c>
      <c r="F421" t="e">
        <f>VLOOKUP(B421,الجدول!A:D,3,FALSE)</f>
        <v>#N/A</v>
      </c>
    </row>
    <row r="422" spans="1:6" x14ac:dyDescent="0.35">
      <c r="A422">
        <v>6069</v>
      </c>
      <c r="B422">
        <v>2</v>
      </c>
      <c r="C422" s="4" t="e">
        <f>VLOOKUP(B422,الجدول!A:B,2,FALSE)</f>
        <v>#N/A</v>
      </c>
      <c r="D422" t="e">
        <f>VLOOKUP(B422,الجدول!A:E,5,FALSE)</f>
        <v>#N/A</v>
      </c>
      <c r="E422" t="e">
        <f>VLOOKUP(B422,الجدول!A:D,4,FALSE)</f>
        <v>#N/A</v>
      </c>
      <c r="F422" t="e">
        <f>VLOOKUP(B422,الجدول!A:D,3,FALSE)</f>
        <v>#N/A</v>
      </c>
    </row>
    <row r="423" spans="1:6" x14ac:dyDescent="0.35">
      <c r="A423">
        <v>6069</v>
      </c>
      <c r="B423" t="s">
        <v>107</v>
      </c>
      <c r="C423" s="4" t="e">
        <f>VLOOKUP(B423,الجدول!A:B,2,FALSE)</f>
        <v>#N/A</v>
      </c>
      <c r="D423" t="e">
        <f>VLOOKUP(B423,الجدول!A:E,5,FALSE)</f>
        <v>#N/A</v>
      </c>
      <c r="E423" t="e">
        <f>VLOOKUP(B423,الجدول!A:D,4,FALSE)</f>
        <v>#N/A</v>
      </c>
      <c r="F423" t="e">
        <f>VLOOKUP(B423,الجدول!A:D,3,FALSE)</f>
        <v>#N/A</v>
      </c>
    </row>
    <row r="424" spans="1:6" x14ac:dyDescent="0.35">
      <c r="A424">
        <v>6069</v>
      </c>
      <c r="B424" t="s">
        <v>108</v>
      </c>
      <c r="C424" s="4" t="e">
        <f>VLOOKUP(B424,الجدول!A:B,2,FALSE)</f>
        <v>#N/A</v>
      </c>
      <c r="D424" t="e">
        <f>VLOOKUP(B424,الجدول!A:E,5,FALSE)</f>
        <v>#N/A</v>
      </c>
      <c r="E424" t="e">
        <f>VLOOKUP(B424,الجدول!A:D,4,FALSE)</f>
        <v>#N/A</v>
      </c>
      <c r="F424" t="e">
        <f>VLOOKUP(B424,الجدول!A:D,3,FALSE)</f>
        <v>#N/A</v>
      </c>
    </row>
    <row r="425" spans="1:6" x14ac:dyDescent="0.35">
      <c r="A425">
        <v>6069</v>
      </c>
      <c r="B425" t="s">
        <v>109</v>
      </c>
      <c r="C425" s="4" t="e">
        <f>VLOOKUP(B425,الجدول!A:B,2,FALSE)</f>
        <v>#N/A</v>
      </c>
      <c r="D425" t="e">
        <f>VLOOKUP(B425,الجدول!A:E,5,FALSE)</f>
        <v>#N/A</v>
      </c>
      <c r="E425" t="e">
        <f>VLOOKUP(B425,الجدول!A:D,4,FALSE)</f>
        <v>#N/A</v>
      </c>
      <c r="F425" t="e">
        <f>VLOOKUP(B425,الجدول!A:D,3,FALSE)</f>
        <v>#N/A</v>
      </c>
    </row>
    <row r="426" spans="1:6" x14ac:dyDescent="0.35">
      <c r="A426">
        <v>7014</v>
      </c>
      <c r="B426">
        <v>2</v>
      </c>
      <c r="C426" s="4" t="e">
        <f>VLOOKUP(B426,الجدول!A:B,2,FALSE)</f>
        <v>#N/A</v>
      </c>
      <c r="D426" t="e">
        <f>VLOOKUP(B426,الجدول!A:E,5,FALSE)</f>
        <v>#N/A</v>
      </c>
      <c r="E426" t="e">
        <f>VLOOKUP(B426,الجدول!A:D,4,FALSE)</f>
        <v>#N/A</v>
      </c>
      <c r="F426" t="e">
        <f>VLOOKUP(B426,الجدول!A:D,3,FALSE)</f>
        <v>#N/A</v>
      </c>
    </row>
    <row r="427" spans="1:6" x14ac:dyDescent="0.35">
      <c r="A427">
        <v>7014</v>
      </c>
      <c r="B427" t="s">
        <v>107</v>
      </c>
      <c r="C427" s="4" t="e">
        <f>VLOOKUP(B427,الجدول!A:B,2,FALSE)</f>
        <v>#N/A</v>
      </c>
      <c r="D427" t="e">
        <f>VLOOKUP(B427,الجدول!A:E,5,FALSE)</f>
        <v>#N/A</v>
      </c>
      <c r="E427" t="e">
        <f>VLOOKUP(B427,الجدول!A:D,4,FALSE)</f>
        <v>#N/A</v>
      </c>
      <c r="F427" t="e">
        <f>VLOOKUP(B427,الجدول!A:D,3,FALSE)</f>
        <v>#N/A</v>
      </c>
    </row>
    <row r="428" spans="1:6" x14ac:dyDescent="0.35">
      <c r="A428">
        <v>7014</v>
      </c>
      <c r="B428" t="s">
        <v>108</v>
      </c>
      <c r="C428" s="4" t="e">
        <f>VLOOKUP(B428,الجدول!A:B,2,FALSE)</f>
        <v>#N/A</v>
      </c>
      <c r="D428" t="e">
        <f>VLOOKUP(B428,الجدول!A:E,5,FALSE)</f>
        <v>#N/A</v>
      </c>
      <c r="E428" t="e">
        <f>VLOOKUP(B428,الجدول!A:D,4,FALSE)</f>
        <v>#N/A</v>
      </c>
      <c r="F428" t="e">
        <f>VLOOKUP(B428,الجدول!A:D,3,FALSE)</f>
        <v>#N/A</v>
      </c>
    </row>
    <row r="429" spans="1:6" x14ac:dyDescent="0.35">
      <c r="A429">
        <v>7014</v>
      </c>
      <c r="B429" t="s">
        <v>109</v>
      </c>
      <c r="C429" s="4" t="e">
        <f>VLOOKUP(B429,الجدول!A:B,2,FALSE)</f>
        <v>#N/A</v>
      </c>
      <c r="D429" t="e">
        <f>VLOOKUP(B429,الجدول!A:E,5,FALSE)</f>
        <v>#N/A</v>
      </c>
      <c r="E429" t="e">
        <f>VLOOKUP(B429,الجدول!A:D,4,FALSE)</f>
        <v>#N/A</v>
      </c>
      <c r="F429" t="e">
        <f>VLOOKUP(B429,الجدول!A:D,3,FALSE)</f>
        <v>#N/A</v>
      </c>
    </row>
    <row r="430" spans="1:6" x14ac:dyDescent="0.35">
      <c r="A430">
        <v>7289</v>
      </c>
      <c r="B430">
        <v>2</v>
      </c>
      <c r="C430" s="4" t="e">
        <f>VLOOKUP(B430,الجدول!A:B,2,FALSE)</f>
        <v>#N/A</v>
      </c>
      <c r="D430" t="e">
        <f>VLOOKUP(B430,الجدول!A:E,5,FALSE)</f>
        <v>#N/A</v>
      </c>
      <c r="E430" t="e">
        <f>VLOOKUP(B430,الجدول!A:D,4,FALSE)</f>
        <v>#N/A</v>
      </c>
      <c r="F430" t="e">
        <f>VLOOKUP(B430,الجدول!A:D,3,FALSE)</f>
        <v>#N/A</v>
      </c>
    </row>
    <row r="431" spans="1:6" x14ac:dyDescent="0.35">
      <c r="A431">
        <v>7289</v>
      </c>
      <c r="B431" t="s">
        <v>107</v>
      </c>
      <c r="C431" s="4" t="e">
        <f>VLOOKUP(B431,الجدول!A:B,2,FALSE)</f>
        <v>#N/A</v>
      </c>
      <c r="D431" t="e">
        <f>VLOOKUP(B431,الجدول!A:E,5,FALSE)</f>
        <v>#N/A</v>
      </c>
      <c r="E431" t="e">
        <f>VLOOKUP(B431,الجدول!A:D,4,FALSE)</f>
        <v>#N/A</v>
      </c>
      <c r="F431" t="e">
        <f>VLOOKUP(B431,الجدول!A:D,3,FALSE)</f>
        <v>#N/A</v>
      </c>
    </row>
    <row r="432" spans="1:6" x14ac:dyDescent="0.35">
      <c r="A432">
        <v>7289</v>
      </c>
      <c r="B432" t="s">
        <v>108</v>
      </c>
      <c r="C432" s="4" t="e">
        <f>VLOOKUP(B432,الجدول!A:B,2,FALSE)</f>
        <v>#N/A</v>
      </c>
      <c r="D432" t="e">
        <f>VLOOKUP(B432,الجدول!A:E,5,FALSE)</f>
        <v>#N/A</v>
      </c>
      <c r="E432" t="e">
        <f>VLOOKUP(B432,الجدول!A:D,4,FALSE)</f>
        <v>#N/A</v>
      </c>
      <c r="F432" t="e">
        <f>VLOOKUP(B432,الجدول!A:D,3,FALSE)</f>
        <v>#N/A</v>
      </c>
    </row>
    <row r="433" spans="1:6" x14ac:dyDescent="0.35">
      <c r="A433">
        <v>7289</v>
      </c>
      <c r="B433" t="s">
        <v>109</v>
      </c>
      <c r="C433" s="4" t="e">
        <f>VLOOKUP(B433,الجدول!A:B,2,FALSE)</f>
        <v>#N/A</v>
      </c>
      <c r="D433" t="e">
        <f>VLOOKUP(B433,الجدول!A:E,5,FALSE)</f>
        <v>#N/A</v>
      </c>
      <c r="E433" t="e">
        <f>VLOOKUP(B433,الجدول!A:D,4,FALSE)</f>
        <v>#N/A</v>
      </c>
      <c r="F433" t="e">
        <f>VLOOKUP(B433,الجدول!A:D,3,FALSE)</f>
        <v>#N/A</v>
      </c>
    </row>
    <row r="434" spans="1:6" x14ac:dyDescent="0.35">
      <c r="A434">
        <v>7361</v>
      </c>
      <c r="B434">
        <v>2</v>
      </c>
      <c r="C434" s="4" t="e">
        <f>VLOOKUP(B434,الجدول!A:B,2,FALSE)</f>
        <v>#N/A</v>
      </c>
      <c r="D434" t="e">
        <f>VLOOKUP(B434,الجدول!A:E,5,FALSE)</f>
        <v>#N/A</v>
      </c>
      <c r="E434" t="e">
        <f>VLOOKUP(B434,الجدول!A:D,4,FALSE)</f>
        <v>#N/A</v>
      </c>
      <c r="F434" t="e">
        <f>VLOOKUP(B434,الجدول!A:D,3,FALSE)</f>
        <v>#N/A</v>
      </c>
    </row>
    <row r="435" spans="1:6" x14ac:dyDescent="0.35">
      <c r="A435">
        <v>7361</v>
      </c>
      <c r="B435" t="s">
        <v>107</v>
      </c>
      <c r="C435" s="4" t="e">
        <f>VLOOKUP(B435,الجدول!A:B,2,FALSE)</f>
        <v>#N/A</v>
      </c>
      <c r="D435" t="e">
        <f>VLOOKUP(B435,الجدول!A:E,5,FALSE)</f>
        <v>#N/A</v>
      </c>
      <c r="E435" t="e">
        <f>VLOOKUP(B435,الجدول!A:D,4,FALSE)</f>
        <v>#N/A</v>
      </c>
      <c r="F435" t="e">
        <f>VLOOKUP(B435,الجدول!A:D,3,FALSE)</f>
        <v>#N/A</v>
      </c>
    </row>
    <row r="436" spans="1:6" x14ac:dyDescent="0.35">
      <c r="A436">
        <v>7361</v>
      </c>
      <c r="B436" t="s">
        <v>108</v>
      </c>
      <c r="C436" s="4" t="e">
        <f>VLOOKUP(B436,الجدول!A:B,2,FALSE)</f>
        <v>#N/A</v>
      </c>
      <c r="D436" t="e">
        <f>VLOOKUP(B436,الجدول!A:E,5,FALSE)</f>
        <v>#N/A</v>
      </c>
      <c r="E436" t="e">
        <f>VLOOKUP(B436,الجدول!A:D,4,FALSE)</f>
        <v>#N/A</v>
      </c>
      <c r="F436" t="e">
        <f>VLOOKUP(B436,الجدول!A:D,3,FALSE)</f>
        <v>#N/A</v>
      </c>
    </row>
    <row r="437" spans="1:6" x14ac:dyDescent="0.35">
      <c r="A437">
        <v>7361</v>
      </c>
      <c r="B437" t="s">
        <v>109</v>
      </c>
      <c r="C437" s="4" t="e">
        <f>VLOOKUP(B437,الجدول!A:B,2,FALSE)</f>
        <v>#N/A</v>
      </c>
      <c r="D437" t="e">
        <f>VLOOKUP(B437,الجدول!A:E,5,FALSE)</f>
        <v>#N/A</v>
      </c>
      <c r="E437" t="e">
        <f>VLOOKUP(B437,الجدول!A:D,4,FALSE)</f>
        <v>#N/A</v>
      </c>
      <c r="F437" t="e">
        <f>VLOOKUP(B437,الجدول!A:D,3,FALSE)</f>
        <v>#N/A</v>
      </c>
    </row>
    <row r="438" spans="1:6" x14ac:dyDescent="0.35">
      <c r="A438">
        <v>1416</v>
      </c>
      <c r="B438">
        <v>1</v>
      </c>
      <c r="C438" s="4" t="e">
        <f>VLOOKUP(B438,الجدول!A:B,2,FALSE)</f>
        <v>#N/A</v>
      </c>
      <c r="D438" t="e">
        <f>VLOOKUP(B438,الجدول!A:E,5,FALSE)</f>
        <v>#N/A</v>
      </c>
      <c r="E438" t="e">
        <f>VLOOKUP(B438,الجدول!A:D,4,FALSE)</f>
        <v>#N/A</v>
      </c>
      <c r="F438" t="e">
        <f>VLOOKUP(B438,الجدول!A:D,3,FALSE)</f>
        <v>#N/A</v>
      </c>
    </row>
    <row r="439" spans="1:6" x14ac:dyDescent="0.35">
      <c r="A439">
        <v>1416</v>
      </c>
      <c r="B439" t="s">
        <v>107</v>
      </c>
      <c r="C439" s="4" t="e">
        <f>VLOOKUP(B439,الجدول!A:B,2,FALSE)</f>
        <v>#N/A</v>
      </c>
      <c r="D439" t="e">
        <f>VLOOKUP(B439,الجدول!A:E,5,FALSE)</f>
        <v>#N/A</v>
      </c>
      <c r="E439" t="e">
        <f>VLOOKUP(B439,الجدول!A:D,4,FALSE)</f>
        <v>#N/A</v>
      </c>
      <c r="F439" t="e">
        <f>VLOOKUP(B439,الجدول!A:D,3,FALSE)</f>
        <v>#N/A</v>
      </c>
    </row>
    <row r="440" spans="1:6" x14ac:dyDescent="0.35">
      <c r="A440">
        <v>1416</v>
      </c>
      <c r="B440" t="s">
        <v>108</v>
      </c>
      <c r="C440" s="4" t="e">
        <f>VLOOKUP(B440,الجدول!A:B,2,FALSE)</f>
        <v>#N/A</v>
      </c>
      <c r="D440" t="e">
        <f>VLOOKUP(B440,الجدول!A:E,5,FALSE)</f>
        <v>#N/A</v>
      </c>
      <c r="E440" t="e">
        <f>VLOOKUP(B440,الجدول!A:D,4,FALSE)</f>
        <v>#N/A</v>
      </c>
      <c r="F440" t="e">
        <f>VLOOKUP(B440,الجدول!A:D,3,FALSE)</f>
        <v>#N/A</v>
      </c>
    </row>
    <row r="441" spans="1:6" x14ac:dyDescent="0.35">
      <c r="A441">
        <v>1416</v>
      </c>
      <c r="B441" t="s">
        <v>109</v>
      </c>
      <c r="C441" s="4" t="e">
        <f>VLOOKUP(B441,الجدول!A:B,2,FALSE)</f>
        <v>#N/A</v>
      </c>
      <c r="D441" t="e">
        <f>VLOOKUP(B441,الجدول!A:E,5,FALSE)</f>
        <v>#N/A</v>
      </c>
      <c r="E441" t="e">
        <f>VLOOKUP(B441,الجدول!A:D,4,FALSE)</f>
        <v>#N/A</v>
      </c>
      <c r="F441" t="e">
        <f>VLOOKUP(B441,الجدول!A:D,3,FALSE)</f>
        <v>#N/A</v>
      </c>
    </row>
    <row r="442" spans="1:6" x14ac:dyDescent="0.35">
      <c r="A442">
        <v>5256</v>
      </c>
      <c r="B442">
        <v>1</v>
      </c>
      <c r="C442" s="4" t="e">
        <f>VLOOKUP(B442,الجدول!A:B,2,FALSE)</f>
        <v>#N/A</v>
      </c>
      <c r="D442" t="e">
        <f>VLOOKUP(B442,الجدول!A:E,5,FALSE)</f>
        <v>#N/A</v>
      </c>
      <c r="E442" t="e">
        <f>VLOOKUP(B442,الجدول!A:D,4,FALSE)</f>
        <v>#N/A</v>
      </c>
      <c r="F442" t="e">
        <f>VLOOKUP(B442,الجدول!A:D,3,FALSE)</f>
        <v>#N/A</v>
      </c>
    </row>
    <row r="443" spans="1:6" x14ac:dyDescent="0.35">
      <c r="A443">
        <v>5256</v>
      </c>
      <c r="B443" t="s">
        <v>107</v>
      </c>
      <c r="C443" s="4" t="e">
        <f>VLOOKUP(B443,الجدول!A:B,2,FALSE)</f>
        <v>#N/A</v>
      </c>
      <c r="D443" t="e">
        <f>VLOOKUP(B443,الجدول!A:E,5,FALSE)</f>
        <v>#N/A</v>
      </c>
      <c r="E443" t="e">
        <f>VLOOKUP(B443,الجدول!A:D,4,FALSE)</f>
        <v>#N/A</v>
      </c>
      <c r="F443" t="e">
        <f>VLOOKUP(B443,الجدول!A:D,3,FALSE)</f>
        <v>#N/A</v>
      </c>
    </row>
    <row r="444" spans="1:6" x14ac:dyDescent="0.35">
      <c r="A444">
        <v>5256</v>
      </c>
      <c r="B444" t="s">
        <v>108</v>
      </c>
      <c r="C444" s="4" t="e">
        <f>VLOOKUP(B444,الجدول!A:B,2,FALSE)</f>
        <v>#N/A</v>
      </c>
      <c r="D444" t="e">
        <f>VLOOKUP(B444,الجدول!A:E,5,FALSE)</f>
        <v>#N/A</v>
      </c>
      <c r="E444" t="e">
        <f>VLOOKUP(B444,الجدول!A:D,4,FALSE)</f>
        <v>#N/A</v>
      </c>
      <c r="F444" t="e">
        <f>VLOOKUP(B444,الجدول!A:D,3,FALSE)</f>
        <v>#N/A</v>
      </c>
    </row>
    <row r="445" spans="1:6" x14ac:dyDescent="0.35">
      <c r="A445">
        <v>5256</v>
      </c>
      <c r="B445" t="s">
        <v>109</v>
      </c>
      <c r="C445" s="4" t="e">
        <f>VLOOKUP(B445,الجدول!A:B,2,FALSE)</f>
        <v>#N/A</v>
      </c>
      <c r="D445" t="e">
        <f>VLOOKUP(B445,الجدول!A:E,5,FALSE)</f>
        <v>#N/A</v>
      </c>
      <c r="E445" t="e">
        <f>VLOOKUP(B445,الجدول!A:D,4,FALSE)</f>
        <v>#N/A</v>
      </c>
      <c r="F445" t="e">
        <f>VLOOKUP(B445,الجدول!A:D,3,FALSE)</f>
        <v>#N/A</v>
      </c>
    </row>
    <row r="446" spans="1:6" x14ac:dyDescent="0.35">
      <c r="A446">
        <v>5567</v>
      </c>
      <c r="B446">
        <v>1</v>
      </c>
      <c r="C446" s="4" t="e">
        <f>VLOOKUP(B446,الجدول!A:B,2,FALSE)</f>
        <v>#N/A</v>
      </c>
      <c r="D446" t="e">
        <f>VLOOKUP(B446,الجدول!A:E,5,FALSE)</f>
        <v>#N/A</v>
      </c>
      <c r="E446" t="e">
        <f>VLOOKUP(B446,الجدول!A:D,4,FALSE)</f>
        <v>#N/A</v>
      </c>
      <c r="F446" t="e">
        <f>VLOOKUP(B446,الجدول!A:D,3,FALSE)</f>
        <v>#N/A</v>
      </c>
    </row>
    <row r="447" spans="1:6" x14ac:dyDescent="0.35">
      <c r="A447">
        <v>5567</v>
      </c>
      <c r="B447" t="s">
        <v>107</v>
      </c>
      <c r="C447" s="4" t="e">
        <f>VLOOKUP(B447,الجدول!A:B,2,FALSE)</f>
        <v>#N/A</v>
      </c>
      <c r="D447" t="e">
        <f>VLOOKUP(B447,الجدول!A:E,5,FALSE)</f>
        <v>#N/A</v>
      </c>
      <c r="E447" t="e">
        <f>VLOOKUP(B447,الجدول!A:D,4,FALSE)</f>
        <v>#N/A</v>
      </c>
      <c r="F447" t="e">
        <f>VLOOKUP(B447,الجدول!A:D,3,FALSE)</f>
        <v>#N/A</v>
      </c>
    </row>
    <row r="448" spans="1:6" x14ac:dyDescent="0.35">
      <c r="A448">
        <v>5567</v>
      </c>
      <c r="B448" t="s">
        <v>108</v>
      </c>
      <c r="C448" s="4" t="e">
        <f>VLOOKUP(B448,الجدول!A:B,2,FALSE)</f>
        <v>#N/A</v>
      </c>
      <c r="D448" t="e">
        <f>VLOOKUP(B448,الجدول!A:E,5,FALSE)</f>
        <v>#N/A</v>
      </c>
      <c r="E448" t="e">
        <f>VLOOKUP(B448,الجدول!A:D,4,FALSE)</f>
        <v>#N/A</v>
      </c>
      <c r="F448" t="e">
        <f>VLOOKUP(B448,الجدول!A:D,3,FALSE)</f>
        <v>#N/A</v>
      </c>
    </row>
    <row r="449" spans="1:6" x14ac:dyDescent="0.35">
      <c r="A449">
        <v>5567</v>
      </c>
      <c r="B449" t="s">
        <v>109</v>
      </c>
      <c r="C449" s="4" t="e">
        <f>VLOOKUP(B449,الجدول!A:B,2,FALSE)</f>
        <v>#N/A</v>
      </c>
      <c r="D449" t="e">
        <f>VLOOKUP(B449,الجدول!A:E,5,FALSE)</f>
        <v>#N/A</v>
      </c>
      <c r="E449" t="e">
        <f>VLOOKUP(B449,الجدول!A:D,4,FALSE)</f>
        <v>#N/A</v>
      </c>
      <c r="F449" t="e">
        <f>VLOOKUP(B449,الجدول!A:D,3,FALSE)</f>
        <v>#N/A</v>
      </c>
    </row>
    <row r="450" spans="1:6" x14ac:dyDescent="0.35">
      <c r="A450">
        <v>5573</v>
      </c>
      <c r="B450">
        <v>1</v>
      </c>
      <c r="C450" s="4" t="e">
        <f>VLOOKUP(B450,الجدول!A:B,2,FALSE)</f>
        <v>#N/A</v>
      </c>
      <c r="D450" t="e">
        <f>VLOOKUP(B450,الجدول!A:E,5,FALSE)</f>
        <v>#N/A</v>
      </c>
      <c r="E450" t="e">
        <f>VLOOKUP(B450,الجدول!A:D,4,FALSE)</f>
        <v>#N/A</v>
      </c>
      <c r="F450" t="e">
        <f>VLOOKUP(B450,الجدول!A:D,3,FALSE)</f>
        <v>#N/A</v>
      </c>
    </row>
    <row r="451" spans="1:6" x14ac:dyDescent="0.35">
      <c r="A451">
        <v>5573</v>
      </c>
      <c r="B451" t="s">
        <v>107</v>
      </c>
      <c r="C451" s="4" t="e">
        <f>VLOOKUP(B451,الجدول!A:B,2,FALSE)</f>
        <v>#N/A</v>
      </c>
      <c r="D451" t="e">
        <f>VLOOKUP(B451,الجدول!A:E,5,FALSE)</f>
        <v>#N/A</v>
      </c>
      <c r="E451" t="e">
        <f>VLOOKUP(B451,الجدول!A:D,4,FALSE)</f>
        <v>#N/A</v>
      </c>
      <c r="F451" t="e">
        <f>VLOOKUP(B451,الجدول!A:D,3,FALSE)</f>
        <v>#N/A</v>
      </c>
    </row>
    <row r="452" spans="1:6" x14ac:dyDescent="0.35">
      <c r="A452">
        <v>5573</v>
      </c>
      <c r="B452" t="s">
        <v>108</v>
      </c>
      <c r="C452" s="4" t="e">
        <f>VLOOKUP(B452,الجدول!A:B,2,FALSE)</f>
        <v>#N/A</v>
      </c>
      <c r="D452" t="e">
        <f>VLOOKUP(B452,الجدول!A:E,5,FALSE)</f>
        <v>#N/A</v>
      </c>
      <c r="E452" t="e">
        <f>VLOOKUP(B452,الجدول!A:D,4,FALSE)</f>
        <v>#N/A</v>
      </c>
      <c r="F452" t="e">
        <f>VLOOKUP(B452,الجدول!A:D,3,FALSE)</f>
        <v>#N/A</v>
      </c>
    </row>
    <row r="453" spans="1:6" x14ac:dyDescent="0.35">
      <c r="A453">
        <v>5573</v>
      </c>
      <c r="B453" t="s">
        <v>109</v>
      </c>
      <c r="C453" s="4" t="e">
        <f>VLOOKUP(B453,الجدول!A:B,2,FALSE)</f>
        <v>#N/A</v>
      </c>
      <c r="D453" t="e">
        <f>VLOOKUP(B453,الجدول!A:E,5,FALSE)</f>
        <v>#N/A</v>
      </c>
      <c r="E453" t="e">
        <f>VLOOKUP(B453,الجدول!A:D,4,FALSE)</f>
        <v>#N/A</v>
      </c>
      <c r="F453" t="e">
        <f>VLOOKUP(B453,الجدول!A:D,3,FALSE)</f>
        <v>#N/A</v>
      </c>
    </row>
    <row r="454" spans="1:6" x14ac:dyDescent="0.35">
      <c r="A454">
        <v>5820</v>
      </c>
      <c r="B454">
        <v>1</v>
      </c>
      <c r="C454" s="4" t="e">
        <f>VLOOKUP(B454,الجدول!A:B,2,FALSE)</f>
        <v>#N/A</v>
      </c>
      <c r="D454" t="e">
        <f>VLOOKUP(B454,الجدول!A:E,5,FALSE)</f>
        <v>#N/A</v>
      </c>
      <c r="E454" t="e">
        <f>VLOOKUP(B454,الجدول!A:D,4,FALSE)</f>
        <v>#N/A</v>
      </c>
      <c r="F454" t="e">
        <f>VLOOKUP(B454,الجدول!A:D,3,FALSE)</f>
        <v>#N/A</v>
      </c>
    </row>
    <row r="455" spans="1:6" x14ac:dyDescent="0.35">
      <c r="A455">
        <v>5820</v>
      </c>
      <c r="B455" t="s">
        <v>107</v>
      </c>
      <c r="C455" s="4" t="e">
        <f>VLOOKUP(B455,الجدول!A:B,2,FALSE)</f>
        <v>#N/A</v>
      </c>
      <c r="D455" t="e">
        <f>VLOOKUP(B455,الجدول!A:E,5,FALSE)</f>
        <v>#N/A</v>
      </c>
      <c r="E455" t="e">
        <f>VLOOKUP(B455,الجدول!A:D,4,FALSE)</f>
        <v>#N/A</v>
      </c>
      <c r="F455" t="e">
        <f>VLOOKUP(B455,الجدول!A:D,3,FALSE)</f>
        <v>#N/A</v>
      </c>
    </row>
    <row r="456" spans="1:6" x14ac:dyDescent="0.35">
      <c r="A456">
        <v>5820</v>
      </c>
      <c r="B456" t="s">
        <v>108</v>
      </c>
      <c r="C456" s="4" t="e">
        <f>VLOOKUP(B456,الجدول!A:B,2,FALSE)</f>
        <v>#N/A</v>
      </c>
      <c r="D456" t="e">
        <f>VLOOKUP(B456,الجدول!A:E,5,FALSE)</f>
        <v>#N/A</v>
      </c>
      <c r="E456" t="e">
        <f>VLOOKUP(B456,الجدول!A:D,4,FALSE)</f>
        <v>#N/A</v>
      </c>
      <c r="F456" t="e">
        <f>VLOOKUP(B456,الجدول!A:D,3,FALSE)</f>
        <v>#N/A</v>
      </c>
    </row>
    <row r="457" spans="1:6" x14ac:dyDescent="0.35">
      <c r="A457">
        <v>5820</v>
      </c>
      <c r="B457" t="s">
        <v>109</v>
      </c>
      <c r="C457" s="4" t="e">
        <f>VLOOKUP(B457,الجدول!A:B,2,FALSE)</f>
        <v>#N/A</v>
      </c>
      <c r="D457" t="e">
        <f>VLOOKUP(B457,الجدول!A:E,5,FALSE)</f>
        <v>#N/A</v>
      </c>
      <c r="E457" t="e">
        <f>VLOOKUP(B457,الجدول!A:D,4,FALSE)</f>
        <v>#N/A</v>
      </c>
      <c r="F457" t="e">
        <f>VLOOKUP(B457,الجدول!A:D,3,FALSE)</f>
        <v>#N/A</v>
      </c>
    </row>
    <row r="458" spans="1:6" x14ac:dyDescent="0.35">
      <c r="A458">
        <v>5942</v>
      </c>
      <c r="B458">
        <v>1</v>
      </c>
      <c r="C458" s="4" t="e">
        <f>VLOOKUP(B458,الجدول!A:B,2,FALSE)</f>
        <v>#N/A</v>
      </c>
      <c r="D458" t="e">
        <f>VLOOKUP(B458,الجدول!A:E,5,FALSE)</f>
        <v>#N/A</v>
      </c>
      <c r="E458" t="e">
        <f>VLOOKUP(B458,الجدول!A:D,4,FALSE)</f>
        <v>#N/A</v>
      </c>
      <c r="F458" t="e">
        <f>VLOOKUP(B458,الجدول!A:D,3,FALSE)</f>
        <v>#N/A</v>
      </c>
    </row>
    <row r="459" spans="1:6" x14ac:dyDescent="0.35">
      <c r="A459">
        <v>5942</v>
      </c>
      <c r="B459" t="s">
        <v>107</v>
      </c>
      <c r="C459" s="4" t="e">
        <f>VLOOKUP(B459,الجدول!A:B,2,FALSE)</f>
        <v>#N/A</v>
      </c>
      <c r="D459" t="e">
        <f>VLOOKUP(B459,الجدول!A:E,5,FALSE)</f>
        <v>#N/A</v>
      </c>
      <c r="E459" t="e">
        <f>VLOOKUP(B459,الجدول!A:D,4,FALSE)</f>
        <v>#N/A</v>
      </c>
      <c r="F459" t="e">
        <f>VLOOKUP(B459,الجدول!A:D,3,FALSE)</f>
        <v>#N/A</v>
      </c>
    </row>
    <row r="460" spans="1:6" x14ac:dyDescent="0.35">
      <c r="A460">
        <v>5942</v>
      </c>
      <c r="B460" t="s">
        <v>108</v>
      </c>
      <c r="C460" s="4" t="e">
        <f>VLOOKUP(B460,الجدول!A:B,2,FALSE)</f>
        <v>#N/A</v>
      </c>
      <c r="D460" t="e">
        <f>VLOOKUP(B460,الجدول!A:E,5,FALSE)</f>
        <v>#N/A</v>
      </c>
      <c r="E460" t="e">
        <f>VLOOKUP(B460,الجدول!A:D,4,FALSE)</f>
        <v>#N/A</v>
      </c>
      <c r="F460" t="e">
        <f>VLOOKUP(B460,الجدول!A:D,3,FALSE)</f>
        <v>#N/A</v>
      </c>
    </row>
    <row r="461" spans="1:6" x14ac:dyDescent="0.35">
      <c r="A461">
        <v>5942</v>
      </c>
      <c r="B461" t="s">
        <v>109</v>
      </c>
      <c r="C461" s="4" t="e">
        <f>VLOOKUP(B461,الجدول!A:B,2,FALSE)</f>
        <v>#N/A</v>
      </c>
      <c r="D461" t="e">
        <f>VLOOKUP(B461,الجدول!A:E,5,FALSE)</f>
        <v>#N/A</v>
      </c>
      <c r="E461" t="e">
        <f>VLOOKUP(B461,الجدول!A:D,4,FALSE)</f>
        <v>#N/A</v>
      </c>
      <c r="F461" t="e">
        <f>VLOOKUP(B461,الجدول!A:D,3,FALSE)</f>
        <v>#N/A</v>
      </c>
    </row>
    <row r="462" spans="1:6" x14ac:dyDescent="0.35">
      <c r="A462">
        <v>7002</v>
      </c>
      <c r="B462">
        <v>1</v>
      </c>
      <c r="C462" s="4" t="e">
        <f>VLOOKUP(B462,الجدول!A:B,2,FALSE)</f>
        <v>#N/A</v>
      </c>
      <c r="D462" t="e">
        <f>VLOOKUP(B462,الجدول!A:E,5,FALSE)</f>
        <v>#N/A</v>
      </c>
      <c r="E462" t="e">
        <f>VLOOKUP(B462,الجدول!A:D,4,FALSE)</f>
        <v>#N/A</v>
      </c>
      <c r="F462" t="e">
        <f>VLOOKUP(B462,الجدول!A:D,3,FALSE)</f>
        <v>#N/A</v>
      </c>
    </row>
    <row r="463" spans="1:6" x14ac:dyDescent="0.35">
      <c r="A463">
        <v>7002</v>
      </c>
      <c r="B463" t="s">
        <v>107</v>
      </c>
      <c r="C463" s="4" t="e">
        <f>VLOOKUP(B463,الجدول!A:B,2,FALSE)</f>
        <v>#N/A</v>
      </c>
      <c r="D463" t="e">
        <f>VLOOKUP(B463,الجدول!A:E,5,FALSE)</f>
        <v>#N/A</v>
      </c>
      <c r="E463" t="e">
        <f>VLOOKUP(B463,الجدول!A:D,4,FALSE)</f>
        <v>#N/A</v>
      </c>
      <c r="F463" t="e">
        <f>VLOOKUP(B463,الجدول!A:D,3,FALSE)</f>
        <v>#N/A</v>
      </c>
    </row>
    <row r="464" spans="1:6" x14ac:dyDescent="0.35">
      <c r="A464">
        <v>7002</v>
      </c>
      <c r="B464" t="s">
        <v>108</v>
      </c>
      <c r="C464" s="4" t="e">
        <f>VLOOKUP(B464,الجدول!A:B,2,FALSE)</f>
        <v>#N/A</v>
      </c>
      <c r="D464" t="e">
        <f>VLOOKUP(B464,الجدول!A:E,5,FALSE)</f>
        <v>#N/A</v>
      </c>
      <c r="E464" t="e">
        <f>VLOOKUP(B464,الجدول!A:D,4,FALSE)</f>
        <v>#N/A</v>
      </c>
      <c r="F464" t="e">
        <f>VLOOKUP(B464,الجدول!A:D,3,FALSE)</f>
        <v>#N/A</v>
      </c>
    </row>
    <row r="465" spans="1:6" x14ac:dyDescent="0.35">
      <c r="A465">
        <v>7002</v>
      </c>
      <c r="B465" t="s">
        <v>109</v>
      </c>
      <c r="C465" s="4" t="e">
        <f>VLOOKUP(B465,الجدول!A:B,2,FALSE)</f>
        <v>#N/A</v>
      </c>
      <c r="D465" t="e">
        <f>VLOOKUP(B465,الجدول!A:E,5,FALSE)</f>
        <v>#N/A</v>
      </c>
      <c r="E465" t="e">
        <f>VLOOKUP(B465,الجدول!A:D,4,FALSE)</f>
        <v>#N/A</v>
      </c>
      <c r="F465" t="e">
        <f>VLOOKUP(B465,الجدول!A:D,3,FALSE)</f>
        <v>#N/A</v>
      </c>
    </row>
    <row r="466" spans="1:6" x14ac:dyDescent="0.35">
      <c r="A466">
        <v>7008</v>
      </c>
      <c r="B466">
        <v>1</v>
      </c>
      <c r="C466" s="4" t="e">
        <f>VLOOKUP(B466,الجدول!A:B,2,FALSE)</f>
        <v>#N/A</v>
      </c>
      <c r="D466" t="e">
        <f>VLOOKUP(B466,الجدول!A:E,5,FALSE)</f>
        <v>#N/A</v>
      </c>
      <c r="E466" t="e">
        <f>VLOOKUP(B466,الجدول!A:D,4,FALSE)</f>
        <v>#N/A</v>
      </c>
      <c r="F466" t="e">
        <f>VLOOKUP(B466,الجدول!A:D,3,FALSE)</f>
        <v>#N/A</v>
      </c>
    </row>
    <row r="467" spans="1:6" x14ac:dyDescent="0.35">
      <c r="A467">
        <v>7008</v>
      </c>
      <c r="B467" t="s">
        <v>107</v>
      </c>
      <c r="C467" s="4" t="e">
        <f>VLOOKUP(B467,الجدول!A:B,2,FALSE)</f>
        <v>#N/A</v>
      </c>
      <c r="D467" t="e">
        <f>VLOOKUP(B467,الجدول!A:E,5,FALSE)</f>
        <v>#N/A</v>
      </c>
      <c r="E467" t="e">
        <f>VLOOKUP(B467,الجدول!A:D,4,FALSE)</f>
        <v>#N/A</v>
      </c>
      <c r="F467" t="e">
        <f>VLOOKUP(B467,الجدول!A:D,3,FALSE)</f>
        <v>#N/A</v>
      </c>
    </row>
    <row r="468" spans="1:6" x14ac:dyDescent="0.35">
      <c r="A468">
        <v>7008</v>
      </c>
      <c r="B468" t="s">
        <v>108</v>
      </c>
      <c r="C468" s="4" t="e">
        <f>VLOOKUP(B468,الجدول!A:B,2,FALSE)</f>
        <v>#N/A</v>
      </c>
      <c r="D468" t="e">
        <f>VLOOKUP(B468,الجدول!A:E,5,FALSE)</f>
        <v>#N/A</v>
      </c>
      <c r="E468" t="e">
        <f>VLOOKUP(B468,الجدول!A:D,4,FALSE)</f>
        <v>#N/A</v>
      </c>
      <c r="F468" t="e">
        <f>VLOOKUP(B468,الجدول!A:D,3,FALSE)</f>
        <v>#N/A</v>
      </c>
    </row>
    <row r="469" spans="1:6" x14ac:dyDescent="0.35">
      <c r="A469">
        <v>7008</v>
      </c>
      <c r="B469" t="s">
        <v>109</v>
      </c>
      <c r="C469" s="4" t="e">
        <f>VLOOKUP(B469,الجدول!A:B,2,FALSE)</f>
        <v>#N/A</v>
      </c>
      <c r="D469" t="e">
        <f>VLOOKUP(B469,الجدول!A:E,5,FALSE)</f>
        <v>#N/A</v>
      </c>
      <c r="E469" t="e">
        <f>VLOOKUP(B469,الجدول!A:D,4,FALSE)</f>
        <v>#N/A</v>
      </c>
      <c r="F469" t="e">
        <f>VLOOKUP(B469,الجدول!A:D,3,FALSE)</f>
        <v>#N/A</v>
      </c>
    </row>
    <row r="470" spans="1:6" x14ac:dyDescent="0.35">
      <c r="A470">
        <v>7010</v>
      </c>
      <c r="B470">
        <v>1</v>
      </c>
      <c r="C470" s="4" t="e">
        <f>VLOOKUP(B470,الجدول!A:B,2,FALSE)</f>
        <v>#N/A</v>
      </c>
      <c r="D470" t="e">
        <f>VLOOKUP(B470,الجدول!A:E,5,FALSE)</f>
        <v>#N/A</v>
      </c>
      <c r="E470" t="e">
        <f>VLOOKUP(B470,الجدول!A:D,4,FALSE)</f>
        <v>#N/A</v>
      </c>
      <c r="F470" t="e">
        <f>VLOOKUP(B470,الجدول!A:D,3,FALSE)</f>
        <v>#N/A</v>
      </c>
    </row>
    <row r="471" spans="1:6" x14ac:dyDescent="0.35">
      <c r="A471">
        <v>7010</v>
      </c>
      <c r="B471" t="s">
        <v>107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v>7010</v>
      </c>
      <c r="B472" t="s">
        <v>108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v>7010</v>
      </c>
      <c r="B473" t="s">
        <v>109</v>
      </c>
      <c r="C473" s="4" t="e">
        <f>VLOOKUP(B473,الجدول!A:B,2,FALSE)</f>
        <v>#N/A</v>
      </c>
      <c r="D473" t="e">
        <f>VLOOKUP(B473,الجدول!A:E,5,FALSE)</f>
        <v>#N/A</v>
      </c>
      <c r="E473" t="e">
        <f>VLOOKUP(B473,الجدول!A:D,4,FALSE)</f>
        <v>#N/A</v>
      </c>
      <c r="F473" t="e">
        <f>VLOOKUP(B473,الجدول!A:D,3,FALSE)</f>
        <v>#N/A</v>
      </c>
    </row>
    <row r="474" spans="1:6" x14ac:dyDescent="0.35">
      <c r="A474">
        <v>7015</v>
      </c>
      <c r="B474">
        <v>1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v>7015</v>
      </c>
      <c r="B475" t="s">
        <v>107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v>7015</v>
      </c>
      <c r="B476" t="s">
        <v>108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v>7015</v>
      </c>
      <c r="B477" t="s">
        <v>109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v>7117</v>
      </c>
      <c r="B478">
        <v>1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v>7117</v>
      </c>
      <c r="B479" t="s">
        <v>107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v>7117</v>
      </c>
      <c r="B480" t="s">
        <v>108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v>7117</v>
      </c>
      <c r="B481" t="s">
        <v>109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v>7412</v>
      </c>
      <c r="B482">
        <v>1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v>7412</v>
      </c>
      <c r="B483" t="s">
        <v>107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v>7412</v>
      </c>
      <c r="B484" t="s">
        <v>108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v>7412</v>
      </c>
      <c r="B485" t="s">
        <v>109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v>7498</v>
      </c>
      <c r="B486">
        <v>1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v>7498</v>
      </c>
      <c r="B487" t="s">
        <v>107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v>7498</v>
      </c>
      <c r="B488" t="s">
        <v>108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v>7498</v>
      </c>
      <c r="B489" t="s">
        <v>109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v>100</v>
      </c>
      <c r="B490">
        <v>100</v>
      </c>
      <c r="C490" s="4" t="str">
        <f>VLOOKUP(B490,الجدول!A:B,2,FALSE)</f>
        <v>اللغة العربية</v>
      </c>
      <c r="D490">
        <f>VLOOKUP(B490,الجدول!A:E,5,FALSE)</f>
        <v>3</v>
      </c>
      <c r="E490">
        <f>VLOOKUP(B490,الجدول!A:D,4,FALSE)</f>
        <v>0</v>
      </c>
      <c r="F490" t="str">
        <f>VLOOKUP(B490,الجدول!A:D,3,FALSE)</f>
        <v>الثلاثاء 11:00</v>
      </c>
    </row>
    <row r="491" spans="1:6" x14ac:dyDescent="0.35">
      <c r="A491">
        <v>100</v>
      </c>
      <c r="B491">
        <v>2111</v>
      </c>
      <c r="C491" s="4" t="str">
        <f>VLOOKUP(B491,الجدول!A:B,2,FALSE)</f>
        <v>Listening and Speaking A</v>
      </c>
      <c r="D491">
        <f>VLOOKUP(B491,الجدول!A:E,5,FALSE)</f>
        <v>4</v>
      </c>
      <c r="E491" t="str">
        <f>VLOOKUP(B491,الجدول!A:D,4,FALSE)</f>
        <v>أ. يونس مصطفى</v>
      </c>
      <c r="F491" t="str">
        <f>VLOOKUP(B491,الجدول!A:D,3,FALSE)</f>
        <v>الإثنين 11:00</v>
      </c>
    </row>
    <row r="492" spans="1:6" x14ac:dyDescent="0.35">
      <c r="A492">
        <v>100</v>
      </c>
      <c r="B492">
        <v>2112</v>
      </c>
      <c r="C492" s="4" t="str">
        <f>VLOOKUP(B492,الجدول!A:B,2,FALSE)</f>
        <v>Reading Comprehension A</v>
      </c>
      <c r="D492">
        <f>VLOOKUP(B492,الجدول!A:E,5,FALSE)</f>
        <v>3</v>
      </c>
      <c r="E492" t="str">
        <f>VLOOKUP(B492,الجدول!A:D,4,FALSE)</f>
        <v>أ. يونس مصطفى</v>
      </c>
      <c r="F492" t="str">
        <f>VLOOKUP(B492,الجدول!A:D,3,FALSE)</f>
        <v>الإثنين 09:00</v>
      </c>
    </row>
    <row r="493" spans="1:6" x14ac:dyDescent="0.35">
      <c r="A493">
        <v>100</v>
      </c>
      <c r="B493">
        <v>2113</v>
      </c>
      <c r="C493" s="4" t="str">
        <f>VLOOKUP(B493,الجدول!A:B,2,FALSE)</f>
        <v>Writing A</v>
      </c>
      <c r="D493">
        <f>VLOOKUP(B493,الجدول!A:E,5,FALSE)</f>
        <v>3</v>
      </c>
      <c r="E493" t="str">
        <f>VLOOKUP(B493,الجدول!A:D,4,FALSE)</f>
        <v>أ.  فرج مالك</v>
      </c>
      <c r="F493" t="str">
        <f>VLOOKUP(B493,الجدول!A:D,3,FALSE)</f>
        <v>السبت 11:00</v>
      </c>
    </row>
    <row r="494" spans="1:6" x14ac:dyDescent="0.35">
      <c r="A494">
        <v>100</v>
      </c>
      <c r="B494">
        <v>2114</v>
      </c>
      <c r="C494" s="4" t="str">
        <f>VLOOKUP(B494,الجدول!A:B,2,FALSE)</f>
        <v>English Grammar A</v>
      </c>
      <c r="D494">
        <f>VLOOKUP(B494,الجدول!A:E,5,FALSE)</f>
        <v>3</v>
      </c>
      <c r="E494" t="str">
        <f>VLOOKUP(B494,الجدول!A:D,4,FALSE)</f>
        <v>أ. الشريف الملاح</v>
      </c>
      <c r="F494" t="str">
        <f>VLOOKUP(B494,الجدول!A:D,3,FALSE)</f>
        <v>الخميس 11:00</v>
      </c>
    </row>
    <row r="495" spans="1:6" x14ac:dyDescent="0.35">
      <c r="C495" s="4">
        <f>VLOOKUP(B495,الجدول!A:B,2,FALSE)</f>
        <v>0</v>
      </c>
      <c r="D495">
        <f>VLOOKUP(B495,الجدول!A:E,5,FALSE)</f>
        <v>0</v>
      </c>
      <c r="E495">
        <f>VLOOKUP(B495,الجدول!A:D,4,FALSE)</f>
        <v>0</v>
      </c>
      <c r="F495">
        <f>VLOOKUP(B495,الجدول!A:D,3,FALSE)</f>
        <v>0</v>
      </c>
    </row>
    <row r="496" spans="1:6" x14ac:dyDescent="0.35">
      <c r="C496" s="4">
        <f>VLOOKUP(B496,الجدول!A:B,2,FALSE)</f>
        <v>0</v>
      </c>
      <c r="D496">
        <f>VLOOKUP(B496,الجدول!A:E,5,FALSE)</f>
        <v>0</v>
      </c>
      <c r="E496">
        <f>VLOOKUP(B496,الجدول!A:D,4,FALSE)</f>
        <v>0</v>
      </c>
      <c r="F496">
        <f>VLOOKUP(B496,الجدول!A:D,3,FALSE)</f>
        <v>0</v>
      </c>
    </row>
    <row r="497" spans="3:6" x14ac:dyDescent="0.35">
      <c r="C497" s="4">
        <f>VLOOKUP(B497,الجدول!A:B,2,FALSE)</f>
        <v>0</v>
      </c>
      <c r="D497">
        <f>VLOOKUP(B497,الجدول!A:E,5,FALSE)</f>
        <v>0</v>
      </c>
      <c r="E497">
        <f>VLOOKUP(B497,الجدول!A:D,4,FALSE)</f>
        <v>0</v>
      </c>
      <c r="F497">
        <f>VLOOKUP(B497,الجدول!A:D,3,FALSE)</f>
        <v>0</v>
      </c>
    </row>
    <row r="498" spans="3:6" x14ac:dyDescent="0.35">
      <c r="C498" s="4">
        <f>VLOOKUP(B498,الجدول!A:B,2,FALSE)</f>
        <v>0</v>
      </c>
      <c r="D498">
        <f>VLOOKUP(B498,الجدول!A:E,5,FALSE)</f>
        <v>0</v>
      </c>
      <c r="E498">
        <f>VLOOKUP(B498,الجدول!A:D,4,FALSE)</f>
        <v>0</v>
      </c>
      <c r="F498">
        <f>VLOOKUP(B498,الجدول!A:D,3,FALSE)</f>
        <v>0</v>
      </c>
    </row>
    <row r="499" spans="3:6" x14ac:dyDescent="0.35">
      <c r="C499" s="4">
        <f>VLOOKUP(B499,الجدول!A:B,2,FALSE)</f>
        <v>0</v>
      </c>
      <c r="D499">
        <f>VLOOKUP(B499,الجدول!A:E,5,FALSE)</f>
        <v>0</v>
      </c>
      <c r="E499">
        <f>VLOOKUP(B499,الجدول!A:D,4,FALSE)</f>
        <v>0</v>
      </c>
      <c r="F499">
        <f>VLOOKUP(B499,الجدول!A:D,3,FALSE)</f>
        <v>0</v>
      </c>
    </row>
    <row r="500" spans="3:6" x14ac:dyDescent="0.35">
      <c r="C500" s="4">
        <f>VLOOKUP(B500,الجدول!A:B,2,FALSE)</f>
        <v>0</v>
      </c>
      <c r="D500">
        <f>VLOOKUP(B500,الجدول!A:E,5,FALSE)</f>
        <v>0</v>
      </c>
      <c r="E500">
        <f>VLOOKUP(B500,الجدول!A:D,4,FALSE)</f>
        <v>0</v>
      </c>
      <c r="F500">
        <f>VLOOKUP(B500,الجدول!A:D,3,FALSE)</f>
        <v>0</v>
      </c>
    </row>
    <row r="501" spans="3:6" x14ac:dyDescent="0.35">
      <c r="C501" s="4">
        <f>VLOOKUP(B501,الجدول!A:B,2,FALSE)</f>
        <v>0</v>
      </c>
      <c r="D501">
        <f>VLOOKUP(B501,الجدول!A:E,5,FALSE)</f>
        <v>0</v>
      </c>
      <c r="E501">
        <f>VLOOKUP(B501,الجدول!A:D,4,FALSE)</f>
        <v>0</v>
      </c>
      <c r="F501">
        <f>VLOOKUP(B501,الجدول!A:D,3,FALSE)</f>
        <v>0</v>
      </c>
    </row>
    <row r="502" spans="3:6" x14ac:dyDescent="0.35">
      <c r="C502" s="4">
        <f>VLOOKUP(B502,الجدول!A:B,2,FALSE)</f>
        <v>0</v>
      </c>
      <c r="D502">
        <f>VLOOKUP(B502,الجدول!A:E,5,FALSE)</f>
        <v>0</v>
      </c>
      <c r="E502">
        <f>VLOOKUP(B502,الجدول!A:D,4,FALSE)</f>
        <v>0</v>
      </c>
      <c r="F502">
        <f>VLOOKUP(B502,الجدول!A:D,3,FALSE)</f>
        <v>0</v>
      </c>
    </row>
    <row r="503" spans="3:6" x14ac:dyDescent="0.35">
      <c r="C503" s="4">
        <f>VLOOKUP(B503,الجدول!A:B,2,FALSE)</f>
        <v>0</v>
      </c>
      <c r="D503">
        <f>VLOOKUP(B503,الجدول!A:E,5,FALSE)</f>
        <v>0</v>
      </c>
      <c r="E503">
        <f>VLOOKUP(B503,الجدول!A:D,4,FALSE)</f>
        <v>0</v>
      </c>
      <c r="F503">
        <f>VLOOKUP(B503,الجدول!A:D,3,FALSE)</f>
        <v>0</v>
      </c>
    </row>
    <row r="504" spans="3:6" x14ac:dyDescent="0.35">
      <c r="C504" s="4">
        <f>VLOOKUP(B504,الجدول!A:B,2,FALSE)</f>
        <v>0</v>
      </c>
      <c r="D504">
        <f>VLOOKUP(B504,الجدول!A:E,5,FALSE)</f>
        <v>0</v>
      </c>
      <c r="E504">
        <f>VLOOKUP(B504,الجدول!A:D,4,FALSE)</f>
        <v>0</v>
      </c>
      <c r="F504">
        <f>VLOOKUP(B504,الجدول!A:D,3,FALSE)</f>
        <v>0</v>
      </c>
    </row>
    <row r="505" spans="3:6" x14ac:dyDescent="0.35">
      <c r="C505" s="4">
        <f>VLOOKUP(B505,الجدول!A:B,2,FALSE)</f>
        <v>0</v>
      </c>
      <c r="D505">
        <f>VLOOKUP(B505,الجدول!A:E,5,FALSE)</f>
        <v>0</v>
      </c>
      <c r="E505">
        <f>VLOOKUP(B505,الجدول!A:D,4,FALSE)</f>
        <v>0</v>
      </c>
      <c r="F505">
        <f>VLOOKUP(B505,الجدول!A:D,3,FALSE)</f>
        <v>0</v>
      </c>
    </row>
    <row r="506" spans="3:6" x14ac:dyDescent="0.35">
      <c r="C506" s="4">
        <f>VLOOKUP(B506,الجدول!A:B,2,FALSE)</f>
        <v>0</v>
      </c>
      <c r="D506">
        <f>VLOOKUP(B506,الجدول!A:E,5,FALSE)</f>
        <v>0</v>
      </c>
      <c r="E506">
        <f>VLOOKUP(B506,الجدول!A:D,4,FALSE)</f>
        <v>0</v>
      </c>
      <c r="F506">
        <f>VLOOKUP(B506,الجدول!A:D,3,FALSE)</f>
        <v>0</v>
      </c>
    </row>
    <row r="507" spans="3:6" x14ac:dyDescent="0.35">
      <c r="C507" s="4">
        <f>VLOOKUP(B507,الجدول!A:B,2,FALSE)</f>
        <v>0</v>
      </c>
      <c r="D507">
        <f>VLOOKUP(B507,الجدول!A:E,5,FALSE)</f>
        <v>0</v>
      </c>
      <c r="E507">
        <f>VLOOKUP(B507,الجدول!A:D,4,FALSE)</f>
        <v>0</v>
      </c>
      <c r="F507">
        <f>VLOOKUP(B507,الجدول!A:D,3,FALSE)</f>
        <v>0</v>
      </c>
    </row>
    <row r="508" spans="3:6" x14ac:dyDescent="0.35">
      <c r="C508" s="4">
        <f>VLOOKUP(B508,الجدول!A:B,2,FALSE)</f>
        <v>0</v>
      </c>
      <c r="D508">
        <f>VLOOKUP(B508,الجدول!A:E,5,FALSE)</f>
        <v>0</v>
      </c>
      <c r="E508">
        <f>VLOOKUP(B508,الجدول!A:D,4,FALSE)</f>
        <v>0</v>
      </c>
      <c r="F508">
        <f>VLOOKUP(B508,الجدول!A:D,3,FALSE)</f>
        <v>0</v>
      </c>
    </row>
    <row r="509" spans="3:6" x14ac:dyDescent="0.35">
      <c r="C509" s="4">
        <f>VLOOKUP(B509,الجدول!A:B,2,FALSE)</f>
        <v>0</v>
      </c>
      <c r="D509">
        <f>VLOOKUP(B509,الجدول!A:E,5,FALSE)</f>
        <v>0</v>
      </c>
      <c r="E509">
        <f>VLOOKUP(B509,الجدول!A:D,4,FALSE)</f>
        <v>0</v>
      </c>
      <c r="F509">
        <f>VLOOKUP(B509,الجدول!A:D,3,FALSE)</f>
        <v>0</v>
      </c>
    </row>
    <row r="510" spans="3:6" x14ac:dyDescent="0.35">
      <c r="C510" s="4">
        <f>VLOOKUP(B510,الجدول!A:B,2,FALSE)</f>
        <v>0</v>
      </c>
      <c r="D510">
        <f>VLOOKUP(B510,الجدول!A:E,5,FALSE)</f>
        <v>0</v>
      </c>
      <c r="E510">
        <f>VLOOKUP(B510,الجدول!A:D,4,FALSE)</f>
        <v>0</v>
      </c>
      <c r="F510">
        <f>VLOOKUP(B510,الجدول!A:D,3,FALSE)</f>
        <v>0</v>
      </c>
    </row>
    <row r="511" spans="3:6" x14ac:dyDescent="0.35">
      <c r="C511" s="4">
        <f>VLOOKUP(B511,الجدول!A:B,2,FALSE)</f>
        <v>0</v>
      </c>
      <c r="D511">
        <f>VLOOKUP(B511,الجدول!A:E,5,FALSE)</f>
        <v>0</v>
      </c>
      <c r="E511">
        <f>VLOOKUP(B511,الجدول!A:D,4,FALSE)</f>
        <v>0</v>
      </c>
      <c r="F511">
        <f>VLOOKUP(B511,الجدول!A:D,3,FALSE)</f>
        <v>0</v>
      </c>
    </row>
    <row r="512" spans="3:6" x14ac:dyDescent="0.35">
      <c r="C512" s="4">
        <f>VLOOKUP(B512,الجدول!A:B,2,FALSE)</f>
        <v>0</v>
      </c>
      <c r="D512">
        <f>VLOOKUP(B512,الجدول!A:E,5,FALSE)</f>
        <v>0</v>
      </c>
      <c r="E512">
        <f>VLOOKUP(B512,الجدول!A:D,4,FALSE)</f>
        <v>0</v>
      </c>
      <c r="F512">
        <f>VLOOKUP(B512,الجدول!A:D,3,FALSE)</f>
        <v>0</v>
      </c>
    </row>
    <row r="513" spans="3:6" x14ac:dyDescent="0.35"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3:6" x14ac:dyDescent="0.35"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3:6" x14ac:dyDescent="0.35"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3:6" x14ac:dyDescent="0.35"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3:6" x14ac:dyDescent="0.35"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3:6" x14ac:dyDescent="0.35"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3:6" x14ac:dyDescent="0.35"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3:6" x14ac:dyDescent="0.35"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3:6" x14ac:dyDescent="0.35"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3:6" x14ac:dyDescent="0.35"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3:6" x14ac:dyDescent="0.35"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3:6" x14ac:dyDescent="0.35"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3:6" x14ac:dyDescent="0.35"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3:6" x14ac:dyDescent="0.35"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3:6" x14ac:dyDescent="0.35"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3:6" x14ac:dyDescent="0.35"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3:6" x14ac:dyDescent="0.35"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3:6" x14ac:dyDescent="0.35"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3:6" x14ac:dyDescent="0.35"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3:6" x14ac:dyDescent="0.35"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3:6" x14ac:dyDescent="0.35"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3:6" x14ac:dyDescent="0.35"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3:6" x14ac:dyDescent="0.35"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3:6" x14ac:dyDescent="0.35"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3:6" x14ac:dyDescent="0.35"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3:6" x14ac:dyDescent="0.35"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3:6" x14ac:dyDescent="0.35"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3:6" x14ac:dyDescent="0.35"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3:6" x14ac:dyDescent="0.35"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3:6" x14ac:dyDescent="0.35"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3:6" x14ac:dyDescent="0.35"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3:6" x14ac:dyDescent="0.35"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3:6" x14ac:dyDescent="0.35"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3:6" x14ac:dyDescent="0.35"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3:6" x14ac:dyDescent="0.35"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3:6" x14ac:dyDescent="0.35"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3:6" x14ac:dyDescent="0.35"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3:6" x14ac:dyDescent="0.35"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3:6" x14ac:dyDescent="0.35"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3:6" x14ac:dyDescent="0.35"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3:6" x14ac:dyDescent="0.35"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3:6" x14ac:dyDescent="0.35"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3:6" x14ac:dyDescent="0.35"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3:6" x14ac:dyDescent="0.35"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3:6" x14ac:dyDescent="0.35"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3:6" x14ac:dyDescent="0.35"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3:6" x14ac:dyDescent="0.35"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3:6" x14ac:dyDescent="0.35"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3:6" x14ac:dyDescent="0.35"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3:6" x14ac:dyDescent="0.35"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3:6" x14ac:dyDescent="0.35"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3:6" x14ac:dyDescent="0.35"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3:6" x14ac:dyDescent="0.35"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3:6" x14ac:dyDescent="0.35"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3:6" x14ac:dyDescent="0.35"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3:6" x14ac:dyDescent="0.35"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3:6" x14ac:dyDescent="0.35"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3:6" x14ac:dyDescent="0.35"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3:6" x14ac:dyDescent="0.35"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3:6" x14ac:dyDescent="0.35"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3:6" x14ac:dyDescent="0.35"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3:6" x14ac:dyDescent="0.35"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3:6" x14ac:dyDescent="0.35"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3:6" x14ac:dyDescent="0.35"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3:6" x14ac:dyDescent="0.35"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3:6" x14ac:dyDescent="0.35"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3:6" x14ac:dyDescent="0.35"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3:6" x14ac:dyDescent="0.35"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3:6" x14ac:dyDescent="0.35"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3:6" x14ac:dyDescent="0.35"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3:6" x14ac:dyDescent="0.35"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3:6" x14ac:dyDescent="0.35"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3:6" x14ac:dyDescent="0.35"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3:6" x14ac:dyDescent="0.35"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3:6" x14ac:dyDescent="0.35"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3:6" x14ac:dyDescent="0.35"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3:6" x14ac:dyDescent="0.35"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3:6" x14ac:dyDescent="0.35"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3:6" x14ac:dyDescent="0.35"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3:6" x14ac:dyDescent="0.35"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3:6" x14ac:dyDescent="0.35"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3:6" x14ac:dyDescent="0.35"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3:6" x14ac:dyDescent="0.35"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3:6" x14ac:dyDescent="0.35"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3:6" x14ac:dyDescent="0.35"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3:6" x14ac:dyDescent="0.35"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3:6" x14ac:dyDescent="0.35"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3:6" x14ac:dyDescent="0.35"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3:6" x14ac:dyDescent="0.35"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3:6" x14ac:dyDescent="0.35"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3:6" x14ac:dyDescent="0.35"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3:6" x14ac:dyDescent="0.35"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3:6" x14ac:dyDescent="0.35"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3:6" x14ac:dyDescent="0.35"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3:6" x14ac:dyDescent="0.35"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3:6" x14ac:dyDescent="0.35"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3:6" x14ac:dyDescent="0.35"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3:6" x14ac:dyDescent="0.35"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3:6" x14ac:dyDescent="0.35"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3:6" x14ac:dyDescent="0.35"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3:6" x14ac:dyDescent="0.35"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3:6" x14ac:dyDescent="0.35"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3:6" x14ac:dyDescent="0.35"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3:6" x14ac:dyDescent="0.35"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3:6" x14ac:dyDescent="0.35"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3:6" x14ac:dyDescent="0.35"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3:6" x14ac:dyDescent="0.35"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3:6" x14ac:dyDescent="0.35"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3:6" x14ac:dyDescent="0.35"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3:6" x14ac:dyDescent="0.35"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3:6" x14ac:dyDescent="0.35"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3:6" x14ac:dyDescent="0.35"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3:6" x14ac:dyDescent="0.35"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3:6" x14ac:dyDescent="0.35"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3:6" x14ac:dyDescent="0.35"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3:6" x14ac:dyDescent="0.35"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3:6" x14ac:dyDescent="0.35"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3:6" x14ac:dyDescent="0.35"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3:6" x14ac:dyDescent="0.35"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3:6" x14ac:dyDescent="0.35"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3:6" x14ac:dyDescent="0.35"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3:6" x14ac:dyDescent="0.35"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3:6" x14ac:dyDescent="0.35"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3:6" x14ac:dyDescent="0.35"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3:6" x14ac:dyDescent="0.35"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3:6" x14ac:dyDescent="0.35"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3:6" x14ac:dyDescent="0.35"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3:6" x14ac:dyDescent="0.35"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3:6" x14ac:dyDescent="0.35"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3:6" x14ac:dyDescent="0.35"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3:6" x14ac:dyDescent="0.35"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3:6" x14ac:dyDescent="0.35"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3:6" x14ac:dyDescent="0.35"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3:6" x14ac:dyDescent="0.35"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3:6" x14ac:dyDescent="0.35"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3:6" x14ac:dyDescent="0.35"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3:6" x14ac:dyDescent="0.35"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3:6" x14ac:dyDescent="0.35"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3:6" x14ac:dyDescent="0.35"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3:6" x14ac:dyDescent="0.35"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3:6" x14ac:dyDescent="0.35"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3:6" x14ac:dyDescent="0.35"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3:6" x14ac:dyDescent="0.35"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3:6" x14ac:dyDescent="0.35"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3:6" x14ac:dyDescent="0.35"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3:6" x14ac:dyDescent="0.35"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3:6" x14ac:dyDescent="0.35"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3:6" x14ac:dyDescent="0.35"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3:6" x14ac:dyDescent="0.35"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3:6" x14ac:dyDescent="0.35"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3:6" x14ac:dyDescent="0.35"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3:6" x14ac:dyDescent="0.35"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3:6" x14ac:dyDescent="0.35"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3:6" x14ac:dyDescent="0.35"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3:6" x14ac:dyDescent="0.35"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3:6" x14ac:dyDescent="0.35"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3:6" x14ac:dyDescent="0.35"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3:6" x14ac:dyDescent="0.35"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3:6" x14ac:dyDescent="0.35"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3:6" x14ac:dyDescent="0.35"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3:6" x14ac:dyDescent="0.35"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3:6" x14ac:dyDescent="0.35"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3:6" x14ac:dyDescent="0.35"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3:6" x14ac:dyDescent="0.35"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3:6" x14ac:dyDescent="0.35"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3:6" x14ac:dyDescent="0.35"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3:6" x14ac:dyDescent="0.35"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3:6" x14ac:dyDescent="0.35"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3:6" x14ac:dyDescent="0.35"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3:6" x14ac:dyDescent="0.35"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3:6" x14ac:dyDescent="0.35"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3:6" x14ac:dyDescent="0.35"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3:6" x14ac:dyDescent="0.35"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3:6" x14ac:dyDescent="0.35"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3:6" x14ac:dyDescent="0.35"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3:6" x14ac:dyDescent="0.35"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3:6" x14ac:dyDescent="0.35"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3:6" x14ac:dyDescent="0.35"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3:6" x14ac:dyDescent="0.35"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3:6" x14ac:dyDescent="0.35"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3:6" x14ac:dyDescent="0.35"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3:6" x14ac:dyDescent="0.35"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3:6" x14ac:dyDescent="0.35"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3:6" x14ac:dyDescent="0.35"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3:6" x14ac:dyDescent="0.35"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3:6" x14ac:dyDescent="0.35"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3:6" x14ac:dyDescent="0.35"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3:6" x14ac:dyDescent="0.35"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3:6" x14ac:dyDescent="0.35"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3:6" x14ac:dyDescent="0.35"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3:6" x14ac:dyDescent="0.35"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3:6" x14ac:dyDescent="0.35"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3:6" x14ac:dyDescent="0.35"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3:6" x14ac:dyDescent="0.35"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3:6" x14ac:dyDescent="0.35"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3:6" x14ac:dyDescent="0.35"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3:6" x14ac:dyDescent="0.35"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3:6" x14ac:dyDescent="0.35"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3:6" x14ac:dyDescent="0.35"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3:6" x14ac:dyDescent="0.35"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3:6" x14ac:dyDescent="0.35"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3:6" x14ac:dyDescent="0.35"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3:6" x14ac:dyDescent="0.35"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3:6" x14ac:dyDescent="0.35"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3:6" x14ac:dyDescent="0.35"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3:6" x14ac:dyDescent="0.35"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3:6" x14ac:dyDescent="0.35"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3:6" x14ac:dyDescent="0.35"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3:6" x14ac:dyDescent="0.35"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3:6" x14ac:dyDescent="0.35"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3:6" x14ac:dyDescent="0.35"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3:6" x14ac:dyDescent="0.35"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3:6" x14ac:dyDescent="0.35"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3:6" x14ac:dyDescent="0.35"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3:6" x14ac:dyDescent="0.35"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3:6" x14ac:dyDescent="0.35"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3:6" x14ac:dyDescent="0.35"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3:6" x14ac:dyDescent="0.35"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3:6" x14ac:dyDescent="0.35"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3:6" x14ac:dyDescent="0.35"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3:6" x14ac:dyDescent="0.35"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3:6" x14ac:dyDescent="0.35"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3:6" x14ac:dyDescent="0.35"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3:6" x14ac:dyDescent="0.35"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3:6" x14ac:dyDescent="0.35"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3:6" x14ac:dyDescent="0.35"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3:6" x14ac:dyDescent="0.35"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3:6" x14ac:dyDescent="0.35"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3:6" x14ac:dyDescent="0.35"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3:6" x14ac:dyDescent="0.35"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3:6" x14ac:dyDescent="0.35"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3:6" x14ac:dyDescent="0.35"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3:6" x14ac:dyDescent="0.35"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3:6" x14ac:dyDescent="0.35"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3:6" x14ac:dyDescent="0.35"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3:6" x14ac:dyDescent="0.35"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3:6" x14ac:dyDescent="0.35"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3:6" x14ac:dyDescent="0.35"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3:6" x14ac:dyDescent="0.35"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3:6" x14ac:dyDescent="0.35"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3:6" x14ac:dyDescent="0.35"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3:6" x14ac:dyDescent="0.35"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3:6" x14ac:dyDescent="0.35"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3:6" x14ac:dyDescent="0.35"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3:6" x14ac:dyDescent="0.35"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3:6" x14ac:dyDescent="0.35"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3:6" x14ac:dyDescent="0.35"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3:6" x14ac:dyDescent="0.35"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3:6" x14ac:dyDescent="0.35"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3:6" x14ac:dyDescent="0.35"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3:6" x14ac:dyDescent="0.35"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3:6" x14ac:dyDescent="0.35"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3:6" x14ac:dyDescent="0.35"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3:6" x14ac:dyDescent="0.35"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3:6" x14ac:dyDescent="0.35"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3:6" x14ac:dyDescent="0.35"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3:6" x14ac:dyDescent="0.35"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3:6" x14ac:dyDescent="0.35"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3:6" x14ac:dyDescent="0.35"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3:6" x14ac:dyDescent="0.35"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3:6" x14ac:dyDescent="0.35"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3:6" x14ac:dyDescent="0.35"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3:6" x14ac:dyDescent="0.35"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3:6" x14ac:dyDescent="0.35"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3:6" x14ac:dyDescent="0.35"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3:6" x14ac:dyDescent="0.35"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3:6" x14ac:dyDescent="0.35"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3:6" x14ac:dyDescent="0.35"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3:6" x14ac:dyDescent="0.35"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3:6" x14ac:dyDescent="0.35"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3:6" x14ac:dyDescent="0.35"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3:6" x14ac:dyDescent="0.35"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3:6" x14ac:dyDescent="0.35"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3:6" x14ac:dyDescent="0.35"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3:6" x14ac:dyDescent="0.35"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3:6" x14ac:dyDescent="0.35"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3:6" x14ac:dyDescent="0.35"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3:6" x14ac:dyDescent="0.35"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3:6" x14ac:dyDescent="0.35"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3:6" x14ac:dyDescent="0.35"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3:6" x14ac:dyDescent="0.35"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3:6" x14ac:dyDescent="0.35"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3:6" x14ac:dyDescent="0.35"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3:6" x14ac:dyDescent="0.35"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3:6" x14ac:dyDescent="0.35"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3:6" x14ac:dyDescent="0.35"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3:6" x14ac:dyDescent="0.35"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3:6" x14ac:dyDescent="0.35"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3:6" x14ac:dyDescent="0.35"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3:6" x14ac:dyDescent="0.35"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3:6" x14ac:dyDescent="0.35"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3:6" x14ac:dyDescent="0.35"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3:6" x14ac:dyDescent="0.35"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3:6" x14ac:dyDescent="0.35"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3:6" x14ac:dyDescent="0.35"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3:6" x14ac:dyDescent="0.35"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3:6" x14ac:dyDescent="0.35"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3:6" x14ac:dyDescent="0.35"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3:6" x14ac:dyDescent="0.35"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3:6" x14ac:dyDescent="0.35"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3:6" x14ac:dyDescent="0.35"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3:6" x14ac:dyDescent="0.35"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3:6" x14ac:dyDescent="0.35"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3:6" x14ac:dyDescent="0.35"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3:6" x14ac:dyDescent="0.35"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3:6" x14ac:dyDescent="0.35"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3:6" x14ac:dyDescent="0.35"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3:6" x14ac:dyDescent="0.35"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3:6" x14ac:dyDescent="0.35"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3:6" x14ac:dyDescent="0.35"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3:6" x14ac:dyDescent="0.35"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3:6" x14ac:dyDescent="0.35"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3:6" x14ac:dyDescent="0.35"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3:6" x14ac:dyDescent="0.35"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3:6" x14ac:dyDescent="0.35"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3:6" x14ac:dyDescent="0.35"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3:6" x14ac:dyDescent="0.35"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3:6" x14ac:dyDescent="0.35"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3:6" x14ac:dyDescent="0.35"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3:6" x14ac:dyDescent="0.35"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3:6" x14ac:dyDescent="0.35"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3:6" x14ac:dyDescent="0.35"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3:6" x14ac:dyDescent="0.35"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3:6" x14ac:dyDescent="0.35"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3:6" x14ac:dyDescent="0.35"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3:6" x14ac:dyDescent="0.35"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3:6" x14ac:dyDescent="0.35"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3:6" x14ac:dyDescent="0.35"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3:6" x14ac:dyDescent="0.35"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3:6" x14ac:dyDescent="0.35"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3:6" x14ac:dyDescent="0.35"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3:6" x14ac:dyDescent="0.35"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3:6" x14ac:dyDescent="0.35"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3:6" x14ac:dyDescent="0.35"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3:6" x14ac:dyDescent="0.35"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3:6" x14ac:dyDescent="0.35"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3:6" x14ac:dyDescent="0.35"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3:6" x14ac:dyDescent="0.35"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3:6" x14ac:dyDescent="0.35"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3:6" x14ac:dyDescent="0.35"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3:6" x14ac:dyDescent="0.35"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3:6" x14ac:dyDescent="0.35"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3:6" x14ac:dyDescent="0.35"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3:6" x14ac:dyDescent="0.35"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3:6" x14ac:dyDescent="0.35"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3:6" x14ac:dyDescent="0.35"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3:6" x14ac:dyDescent="0.35"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3:6" x14ac:dyDescent="0.35"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3:6" x14ac:dyDescent="0.35"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3:6" x14ac:dyDescent="0.35"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3:6" x14ac:dyDescent="0.35"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3:6" x14ac:dyDescent="0.35"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3:6" x14ac:dyDescent="0.35"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3:6" x14ac:dyDescent="0.35"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3:6" x14ac:dyDescent="0.35"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3:6" x14ac:dyDescent="0.35"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3:6" x14ac:dyDescent="0.35"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3:6" x14ac:dyDescent="0.35"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3:6" x14ac:dyDescent="0.35"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3:6" x14ac:dyDescent="0.35"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3:6" x14ac:dyDescent="0.35"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3:6" x14ac:dyDescent="0.35"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3:6" x14ac:dyDescent="0.35"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3:6" x14ac:dyDescent="0.35"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3:6" x14ac:dyDescent="0.35"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3:6" x14ac:dyDescent="0.35"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3:6" x14ac:dyDescent="0.35"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3:6" x14ac:dyDescent="0.35"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3:6" x14ac:dyDescent="0.35"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3:6" x14ac:dyDescent="0.35"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3:6" x14ac:dyDescent="0.35"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3:6" x14ac:dyDescent="0.35"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3:6" x14ac:dyDescent="0.35"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3:6" x14ac:dyDescent="0.35"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3:6" x14ac:dyDescent="0.35"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3:6" x14ac:dyDescent="0.35"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3:6" x14ac:dyDescent="0.35"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3:6" x14ac:dyDescent="0.35"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3:6" x14ac:dyDescent="0.35"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3:6" x14ac:dyDescent="0.35"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3:6" x14ac:dyDescent="0.35"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3:6" x14ac:dyDescent="0.35"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3:6" x14ac:dyDescent="0.35"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3:6" x14ac:dyDescent="0.35"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3:6" x14ac:dyDescent="0.35"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3:6" x14ac:dyDescent="0.35"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3:6" x14ac:dyDescent="0.35"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3:6" x14ac:dyDescent="0.35"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3:6" x14ac:dyDescent="0.35"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3:6" x14ac:dyDescent="0.35"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3:6" x14ac:dyDescent="0.35"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3:6" x14ac:dyDescent="0.35"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3:6" x14ac:dyDescent="0.35"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3:6" x14ac:dyDescent="0.35"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3:6" x14ac:dyDescent="0.35"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3:6" x14ac:dyDescent="0.35"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3:6" x14ac:dyDescent="0.35"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3:6" x14ac:dyDescent="0.35"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3:6" x14ac:dyDescent="0.35"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3:6" x14ac:dyDescent="0.35"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3:6" x14ac:dyDescent="0.35"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3:6" x14ac:dyDescent="0.35"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3:6" x14ac:dyDescent="0.35"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3:6" x14ac:dyDescent="0.35"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3:6" x14ac:dyDescent="0.35"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3:6" x14ac:dyDescent="0.35"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3:6" x14ac:dyDescent="0.35"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3:6" x14ac:dyDescent="0.35"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3:6" x14ac:dyDescent="0.35"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3:6" x14ac:dyDescent="0.35"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3:6" x14ac:dyDescent="0.35"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3:6" x14ac:dyDescent="0.35"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3:6" x14ac:dyDescent="0.35"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3:6" x14ac:dyDescent="0.35"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3:6" x14ac:dyDescent="0.35"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3:6" x14ac:dyDescent="0.35"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3:6" x14ac:dyDescent="0.35"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3:6" x14ac:dyDescent="0.35"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3:6" x14ac:dyDescent="0.35"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3:6" x14ac:dyDescent="0.35"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3:6" x14ac:dyDescent="0.35"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3:6" x14ac:dyDescent="0.35"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3:6" x14ac:dyDescent="0.35"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3:6" x14ac:dyDescent="0.35"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3:6" x14ac:dyDescent="0.35"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3:6" x14ac:dyDescent="0.35"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3:6" x14ac:dyDescent="0.35"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3:6" x14ac:dyDescent="0.35"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3:6" x14ac:dyDescent="0.35"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3:6" x14ac:dyDescent="0.35"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3:6" x14ac:dyDescent="0.35"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3:6" x14ac:dyDescent="0.35"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3:6" x14ac:dyDescent="0.35"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3:6" x14ac:dyDescent="0.35"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3:6" x14ac:dyDescent="0.35"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3:6" x14ac:dyDescent="0.35"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3:6" x14ac:dyDescent="0.35"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3:6" x14ac:dyDescent="0.35"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3:6" x14ac:dyDescent="0.35"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3:6" x14ac:dyDescent="0.35"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3:6" x14ac:dyDescent="0.35"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3:6" x14ac:dyDescent="0.35"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3:6" x14ac:dyDescent="0.35"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3:6" x14ac:dyDescent="0.35"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3:6" x14ac:dyDescent="0.35"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3:6" x14ac:dyDescent="0.35"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3:6" x14ac:dyDescent="0.35"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3:6" x14ac:dyDescent="0.35"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3:6" x14ac:dyDescent="0.35"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3:6" x14ac:dyDescent="0.35"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3:6" x14ac:dyDescent="0.35"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3:6" x14ac:dyDescent="0.35"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3:6" x14ac:dyDescent="0.35"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3:6" x14ac:dyDescent="0.35"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3:6" x14ac:dyDescent="0.35"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3:6" x14ac:dyDescent="0.35"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3:6" x14ac:dyDescent="0.35"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3:6" x14ac:dyDescent="0.35"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3:6" x14ac:dyDescent="0.35"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3:6" x14ac:dyDescent="0.35"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3:6" x14ac:dyDescent="0.35"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3:6" x14ac:dyDescent="0.35"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3:6" x14ac:dyDescent="0.35"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3:6" x14ac:dyDescent="0.35"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3:6" x14ac:dyDescent="0.35"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3:6" x14ac:dyDescent="0.35"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3:6" x14ac:dyDescent="0.35"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3:6" x14ac:dyDescent="0.35"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3:6" x14ac:dyDescent="0.35"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3:6" x14ac:dyDescent="0.35"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3:6" x14ac:dyDescent="0.35"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3:6" x14ac:dyDescent="0.35"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3:6" x14ac:dyDescent="0.35"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3:6" x14ac:dyDescent="0.35"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3:6" x14ac:dyDescent="0.35"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3:6" x14ac:dyDescent="0.35"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3:6" x14ac:dyDescent="0.35"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3:6" x14ac:dyDescent="0.35"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3:6" x14ac:dyDescent="0.35"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3:6" x14ac:dyDescent="0.35"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3:6" x14ac:dyDescent="0.35"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3:6" x14ac:dyDescent="0.35"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3:6" x14ac:dyDescent="0.35"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3:6" x14ac:dyDescent="0.35"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3:6" x14ac:dyDescent="0.35"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3:6" x14ac:dyDescent="0.35"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3:6" x14ac:dyDescent="0.35"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3:6" x14ac:dyDescent="0.35"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3"/>
  <sheetViews>
    <sheetView rightToLeft="1" workbookViewId="0"/>
  </sheetViews>
  <sheetFormatPr defaultRowHeight="14.5" x14ac:dyDescent="0.35"/>
  <cols>
    <col min="1" max="1" width="10" customWidth="1"/>
    <col min="2" max="2" width="13" customWidth="1"/>
    <col min="3" max="3" width="16.7265625" customWidth="1"/>
    <col min="4" max="4" width="11.6328125" customWidth="1"/>
    <col min="5" max="5" width="11.7265625" customWidth="1"/>
    <col min="6" max="6" width="11.26953125" customWidth="1"/>
    <col min="7" max="7" width="9.81640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7</v>
      </c>
      <c r="G1" t="s">
        <v>8</v>
      </c>
    </row>
    <row r="2" spans="1:7" x14ac:dyDescent="0.35">
      <c r="A2">
        <v>7133</v>
      </c>
      <c r="B2" t="s">
        <v>9</v>
      </c>
      <c r="C2" t="s">
        <v>10</v>
      </c>
      <c r="D2" t="s">
        <v>11</v>
      </c>
      <c r="E2">
        <v>88</v>
      </c>
      <c r="F2" t="s">
        <v>12</v>
      </c>
      <c r="G2" t="s">
        <v>13</v>
      </c>
    </row>
    <row r="3" spans="1:7" x14ac:dyDescent="0.35">
      <c r="A3">
        <v>7133</v>
      </c>
      <c r="B3" t="s">
        <v>14</v>
      </c>
      <c r="C3" t="s">
        <v>15</v>
      </c>
      <c r="D3" t="s">
        <v>11</v>
      </c>
      <c r="E3">
        <v>75</v>
      </c>
      <c r="F3" t="s">
        <v>16</v>
      </c>
      <c r="G3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122"/>
  <sheetViews>
    <sheetView rightToLeft="1" workbookViewId="0">
      <selection activeCell="E108" sqref="E108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17</v>
      </c>
      <c r="C1" t="s">
        <v>18</v>
      </c>
      <c r="D1" t="s">
        <v>8</v>
      </c>
    </row>
    <row r="2" spans="1:4" x14ac:dyDescent="0.35">
      <c r="A2">
        <v>4800</v>
      </c>
      <c r="B2" t="s">
        <v>20</v>
      </c>
      <c r="C2" t="s">
        <v>211</v>
      </c>
      <c r="D2" t="s">
        <v>19</v>
      </c>
    </row>
    <row r="3" spans="1:4" x14ac:dyDescent="0.35">
      <c r="A3">
        <v>4808</v>
      </c>
      <c r="B3" t="s">
        <v>22</v>
      </c>
      <c r="C3" t="s">
        <v>211</v>
      </c>
      <c r="D3" t="s">
        <v>19</v>
      </c>
    </row>
    <row r="4" spans="1:4" x14ac:dyDescent="0.35">
      <c r="A4">
        <v>4811</v>
      </c>
      <c r="B4" t="s">
        <v>23</v>
      </c>
      <c r="C4" t="s">
        <v>211</v>
      </c>
      <c r="D4" t="s">
        <v>19</v>
      </c>
    </row>
    <row r="5" spans="1:4" x14ac:dyDescent="0.35">
      <c r="A5">
        <v>5163</v>
      </c>
      <c r="B5" t="s">
        <v>24</v>
      </c>
      <c r="C5" t="s">
        <v>211</v>
      </c>
      <c r="D5" t="s">
        <v>19</v>
      </c>
    </row>
    <row r="6" spans="1:4" x14ac:dyDescent="0.35">
      <c r="A6">
        <v>5183</v>
      </c>
      <c r="B6" t="s">
        <v>25</v>
      </c>
      <c r="C6" t="s">
        <v>211</v>
      </c>
      <c r="D6" t="s">
        <v>19</v>
      </c>
    </row>
    <row r="7" spans="1:4" x14ac:dyDescent="0.35">
      <c r="A7">
        <v>5219</v>
      </c>
      <c r="B7" t="s">
        <v>26</v>
      </c>
      <c r="C7" t="s">
        <v>211</v>
      </c>
      <c r="D7" t="s">
        <v>19</v>
      </c>
    </row>
    <row r="8" spans="1:4" x14ac:dyDescent="0.35">
      <c r="A8">
        <v>5249</v>
      </c>
      <c r="B8" t="s">
        <v>27</v>
      </c>
      <c r="C8" t="s">
        <v>211</v>
      </c>
      <c r="D8" t="s">
        <v>19</v>
      </c>
    </row>
    <row r="9" spans="1:4" x14ac:dyDescent="0.35">
      <c r="A9">
        <v>5251</v>
      </c>
      <c r="B9" t="s">
        <v>28</v>
      </c>
      <c r="C9" t="s">
        <v>211</v>
      </c>
      <c r="D9" t="s">
        <v>19</v>
      </c>
    </row>
    <row r="10" spans="1:4" x14ac:dyDescent="0.35">
      <c r="A10">
        <v>5263</v>
      </c>
      <c r="B10" t="s">
        <v>29</v>
      </c>
      <c r="C10" t="s">
        <v>211</v>
      </c>
      <c r="D10" t="s">
        <v>19</v>
      </c>
    </row>
    <row r="11" spans="1:4" x14ac:dyDescent="0.35">
      <c r="A11">
        <v>5271</v>
      </c>
      <c r="B11" t="s">
        <v>30</v>
      </c>
      <c r="C11" t="s">
        <v>211</v>
      </c>
      <c r="D11" t="s">
        <v>19</v>
      </c>
    </row>
    <row r="12" spans="1:4" x14ac:dyDescent="0.35">
      <c r="A12">
        <v>5277</v>
      </c>
      <c r="B12" t="s">
        <v>31</v>
      </c>
      <c r="C12" t="s">
        <v>211</v>
      </c>
      <c r="D12" t="s">
        <v>19</v>
      </c>
    </row>
    <row r="13" spans="1:4" x14ac:dyDescent="0.35">
      <c r="A13">
        <v>5460</v>
      </c>
      <c r="B13" t="s">
        <v>32</v>
      </c>
      <c r="C13" t="s">
        <v>211</v>
      </c>
      <c r="D13" t="s">
        <v>19</v>
      </c>
    </row>
    <row r="14" spans="1:4" x14ac:dyDescent="0.35">
      <c r="A14">
        <v>5542</v>
      </c>
      <c r="B14" t="s">
        <v>33</v>
      </c>
      <c r="C14" t="s">
        <v>211</v>
      </c>
      <c r="D14" t="s">
        <v>19</v>
      </c>
    </row>
    <row r="15" spans="1:4" x14ac:dyDescent="0.35">
      <c r="A15">
        <v>5557</v>
      </c>
      <c r="B15" t="s">
        <v>34</v>
      </c>
      <c r="C15" t="s">
        <v>211</v>
      </c>
      <c r="D15" t="s">
        <v>19</v>
      </c>
    </row>
    <row r="16" spans="1:4" x14ac:dyDescent="0.35">
      <c r="A16">
        <v>5561</v>
      </c>
      <c r="B16" t="s">
        <v>35</v>
      </c>
      <c r="C16" t="s">
        <v>211</v>
      </c>
      <c r="D16" t="s">
        <v>19</v>
      </c>
    </row>
    <row r="17" spans="1:4" x14ac:dyDescent="0.35">
      <c r="A17">
        <v>5566</v>
      </c>
      <c r="B17" t="s">
        <v>36</v>
      </c>
      <c r="C17" t="s">
        <v>211</v>
      </c>
      <c r="D17" t="s">
        <v>19</v>
      </c>
    </row>
    <row r="18" spans="1:4" x14ac:dyDescent="0.35">
      <c r="A18">
        <v>5570</v>
      </c>
      <c r="B18" t="s">
        <v>37</v>
      </c>
      <c r="C18" t="s">
        <v>211</v>
      </c>
      <c r="D18" t="s">
        <v>19</v>
      </c>
    </row>
    <row r="19" spans="1:4" x14ac:dyDescent="0.35">
      <c r="A19">
        <v>5576</v>
      </c>
      <c r="B19" t="s">
        <v>38</v>
      </c>
      <c r="C19" t="s">
        <v>211</v>
      </c>
      <c r="D19" t="s">
        <v>19</v>
      </c>
    </row>
    <row r="20" spans="1:4" x14ac:dyDescent="0.35">
      <c r="A20">
        <v>5589</v>
      </c>
      <c r="B20" t="s">
        <v>39</v>
      </c>
      <c r="C20" t="s">
        <v>211</v>
      </c>
      <c r="D20" t="s">
        <v>19</v>
      </c>
    </row>
    <row r="21" spans="1:4" x14ac:dyDescent="0.35">
      <c r="A21">
        <v>5651</v>
      </c>
      <c r="B21" t="s">
        <v>40</v>
      </c>
      <c r="C21" t="s">
        <v>211</v>
      </c>
      <c r="D21" t="s">
        <v>19</v>
      </c>
    </row>
    <row r="22" spans="1:4" x14ac:dyDescent="0.35">
      <c r="A22">
        <v>5653</v>
      </c>
      <c r="B22" t="s">
        <v>41</v>
      </c>
      <c r="C22" t="s">
        <v>211</v>
      </c>
      <c r="D22" t="s">
        <v>19</v>
      </c>
    </row>
    <row r="23" spans="1:4" x14ac:dyDescent="0.35">
      <c r="A23">
        <v>5654</v>
      </c>
      <c r="B23" t="s">
        <v>42</v>
      </c>
      <c r="C23" t="s">
        <v>211</v>
      </c>
      <c r="D23" t="s">
        <v>19</v>
      </c>
    </row>
    <row r="24" spans="1:4" x14ac:dyDescent="0.35">
      <c r="A24">
        <v>5705</v>
      </c>
      <c r="B24" t="s">
        <v>43</v>
      </c>
      <c r="C24" t="s">
        <v>211</v>
      </c>
      <c r="D24" t="s">
        <v>19</v>
      </c>
    </row>
    <row r="25" spans="1:4" x14ac:dyDescent="0.35">
      <c r="A25">
        <v>5727</v>
      </c>
      <c r="B25" t="s">
        <v>44</v>
      </c>
      <c r="C25" t="s">
        <v>211</v>
      </c>
      <c r="D25" t="s">
        <v>19</v>
      </c>
    </row>
    <row r="26" spans="1:4" x14ac:dyDescent="0.35">
      <c r="A26">
        <v>5822</v>
      </c>
      <c r="B26" t="s">
        <v>45</v>
      </c>
      <c r="C26" t="s">
        <v>211</v>
      </c>
      <c r="D26" t="s">
        <v>19</v>
      </c>
    </row>
    <row r="27" spans="1:4" x14ac:dyDescent="0.35">
      <c r="A27">
        <v>5828</v>
      </c>
      <c r="B27" t="s">
        <v>46</v>
      </c>
      <c r="C27" t="s">
        <v>211</v>
      </c>
      <c r="D27" t="s">
        <v>19</v>
      </c>
    </row>
    <row r="28" spans="1:4" x14ac:dyDescent="0.35">
      <c r="A28">
        <v>5830</v>
      </c>
      <c r="B28" t="s">
        <v>47</v>
      </c>
      <c r="C28" t="s">
        <v>211</v>
      </c>
      <c r="D28" t="s">
        <v>19</v>
      </c>
    </row>
    <row r="29" spans="1:4" x14ac:dyDescent="0.35">
      <c r="A29">
        <v>5831</v>
      </c>
      <c r="B29" t="s">
        <v>48</v>
      </c>
      <c r="C29" t="s">
        <v>211</v>
      </c>
      <c r="D29" t="s">
        <v>19</v>
      </c>
    </row>
    <row r="30" spans="1:4" x14ac:dyDescent="0.35">
      <c r="A30">
        <v>5832</v>
      </c>
      <c r="B30" t="s">
        <v>49</v>
      </c>
      <c r="C30" t="s">
        <v>211</v>
      </c>
      <c r="D30" t="s">
        <v>19</v>
      </c>
    </row>
    <row r="31" spans="1:4" x14ac:dyDescent="0.35">
      <c r="A31">
        <v>5871</v>
      </c>
      <c r="B31" t="s">
        <v>50</v>
      </c>
      <c r="C31" t="s">
        <v>211</v>
      </c>
      <c r="D31" t="s">
        <v>19</v>
      </c>
    </row>
    <row r="32" spans="1:4" x14ac:dyDescent="0.35">
      <c r="A32">
        <v>5943</v>
      </c>
      <c r="B32" t="s">
        <v>51</v>
      </c>
      <c r="C32" t="s">
        <v>211</v>
      </c>
      <c r="D32" t="s">
        <v>19</v>
      </c>
    </row>
    <row r="33" spans="1:4" x14ac:dyDescent="0.35">
      <c r="A33">
        <v>5944</v>
      </c>
      <c r="B33" t="s">
        <v>52</v>
      </c>
      <c r="C33" t="s">
        <v>211</v>
      </c>
      <c r="D33" t="s">
        <v>19</v>
      </c>
    </row>
    <row r="34" spans="1:4" x14ac:dyDescent="0.35">
      <c r="A34">
        <v>5946</v>
      </c>
      <c r="B34" t="s">
        <v>53</v>
      </c>
      <c r="C34" t="s">
        <v>211</v>
      </c>
      <c r="D34" t="s">
        <v>19</v>
      </c>
    </row>
    <row r="35" spans="1:4" x14ac:dyDescent="0.35">
      <c r="A35">
        <v>5947</v>
      </c>
      <c r="B35" t="s">
        <v>54</v>
      </c>
      <c r="C35" t="s">
        <v>211</v>
      </c>
      <c r="D35" t="s">
        <v>19</v>
      </c>
    </row>
    <row r="36" spans="1:4" x14ac:dyDescent="0.35">
      <c r="A36">
        <v>5949</v>
      </c>
      <c r="B36" t="s">
        <v>55</v>
      </c>
      <c r="C36" t="s">
        <v>211</v>
      </c>
      <c r="D36" t="s">
        <v>19</v>
      </c>
    </row>
    <row r="37" spans="1:4" x14ac:dyDescent="0.35">
      <c r="A37">
        <v>5950</v>
      </c>
      <c r="B37" t="s">
        <v>56</v>
      </c>
      <c r="C37" t="s">
        <v>211</v>
      </c>
      <c r="D37" t="s">
        <v>19</v>
      </c>
    </row>
    <row r="38" spans="1:4" x14ac:dyDescent="0.35">
      <c r="A38">
        <v>5953</v>
      </c>
      <c r="B38" t="s">
        <v>57</v>
      </c>
      <c r="C38" t="s">
        <v>211</v>
      </c>
      <c r="D38" t="s">
        <v>19</v>
      </c>
    </row>
    <row r="39" spans="1:4" x14ac:dyDescent="0.35">
      <c r="A39">
        <v>6073</v>
      </c>
      <c r="B39" t="s">
        <v>58</v>
      </c>
      <c r="C39" t="s">
        <v>211</v>
      </c>
      <c r="D39" t="s">
        <v>19</v>
      </c>
    </row>
    <row r="40" spans="1:4" x14ac:dyDescent="0.35">
      <c r="A40">
        <v>6133</v>
      </c>
      <c r="B40" t="s">
        <v>59</v>
      </c>
      <c r="C40" t="s">
        <v>211</v>
      </c>
      <c r="D40" t="s">
        <v>19</v>
      </c>
    </row>
    <row r="41" spans="1:4" x14ac:dyDescent="0.35">
      <c r="A41">
        <v>7000</v>
      </c>
      <c r="B41" t="s">
        <v>60</v>
      </c>
      <c r="C41" t="s">
        <v>211</v>
      </c>
      <c r="D41" t="s">
        <v>19</v>
      </c>
    </row>
    <row r="42" spans="1:4" x14ac:dyDescent="0.35">
      <c r="A42">
        <v>7004</v>
      </c>
      <c r="B42" t="s">
        <v>61</v>
      </c>
      <c r="C42" t="s">
        <v>211</v>
      </c>
      <c r="D42" t="s">
        <v>19</v>
      </c>
    </row>
    <row r="43" spans="1:4" x14ac:dyDescent="0.35">
      <c r="A43">
        <v>7007</v>
      </c>
      <c r="B43" t="s">
        <v>62</v>
      </c>
      <c r="C43" t="s">
        <v>211</v>
      </c>
      <c r="D43" t="s">
        <v>19</v>
      </c>
    </row>
    <row r="44" spans="1:4" x14ac:dyDescent="0.35">
      <c r="A44">
        <v>7009</v>
      </c>
      <c r="B44" t="s">
        <v>63</v>
      </c>
      <c r="C44" t="s">
        <v>211</v>
      </c>
      <c r="D44" t="s">
        <v>19</v>
      </c>
    </row>
    <row r="45" spans="1:4" x14ac:dyDescent="0.35">
      <c r="A45">
        <v>7011</v>
      </c>
      <c r="B45" t="s">
        <v>64</v>
      </c>
      <c r="C45" t="s">
        <v>211</v>
      </c>
      <c r="D45" t="s">
        <v>19</v>
      </c>
    </row>
    <row r="46" spans="1:4" x14ac:dyDescent="0.35">
      <c r="A46">
        <v>7012</v>
      </c>
      <c r="B46" t="s">
        <v>65</v>
      </c>
      <c r="C46" t="s">
        <v>211</v>
      </c>
      <c r="D46" t="s">
        <v>19</v>
      </c>
    </row>
    <row r="47" spans="1:4" x14ac:dyDescent="0.35">
      <c r="A47">
        <v>7013</v>
      </c>
      <c r="B47" t="s">
        <v>66</v>
      </c>
      <c r="C47" t="s">
        <v>211</v>
      </c>
      <c r="D47" t="s">
        <v>19</v>
      </c>
    </row>
    <row r="48" spans="1:4" x14ac:dyDescent="0.35">
      <c r="A48">
        <v>7058</v>
      </c>
      <c r="B48" t="s">
        <v>67</v>
      </c>
      <c r="C48" t="s">
        <v>211</v>
      </c>
      <c r="D48" t="s">
        <v>19</v>
      </c>
    </row>
    <row r="49" spans="1:4" x14ac:dyDescent="0.35">
      <c r="A49">
        <v>7060</v>
      </c>
      <c r="B49" t="s">
        <v>68</v>
      </c>
      <c r="C49" t="s">
        <v>211</v>
      </c>
      <c r="D49" t="s">
        <v>19</v>
      </c>
    </row>
    <row r="50" spans="1:4" x14ac:dyDescent="0.35">
      <c r="A50">
        <v>7061</v>
      </c>
      <c r="B50" t="s">
        <v>69</v>
      </c>
      <c r="C50" t="s">
        <v>211</v>
      </c>
      <c r="D50" t="s">
        <v>19</v>
      </c>
    </row>
    <row r="51" spans="1:4" x14ac:dyDescent="0.35">
      <c r="A51">
        <v>7062</v>
      </c>
      <c r="B51" t="s">
        <v>70</v>
      </c>
      <c r="C51" t="s">
        <v>211</v>
      </c>
      <c r="D51" t="s">
        <v>19</v>
      </c>
    </row>
    <row r="52" spans="1:4" x14ac:dyDescent="0.35">
      <c r="A52">
        <v>7063</v>
      </c>
      <c r="B52" t="s">
        <v>71</v>
      </c>
      <c r="C52" t="s">
        <v>211</v>
      </c>
      <c r="D52" t="s">
        <v>19</v>
      </c>
    </row>
    <row r="53" spans="1:4" x14ac:dyDescent="0.35">
      <c r="A53">
        <v>7102</v>
      </c>
      <c r="B53" t="s">
        <v>72</v>
      </c>
      <c r="C53" t="s">
        <v>211</v>
      </c>
      <c r="D53" t="s">
        <v>19</v>
      </c>
    </row>
    <row r="54" spans="1:4" x14ac:dyDescent="0.35">
      <c r="A54">
        <v>7180</v>
      </c>
      <c r="B54" t="s">
        <v>73</v>
      </c>
      <c r="C54" t="s">
        <v>211</v>
      </c>
      <c r="D54" t="s">
        <v>19</v>
      </c>
    </row>
    <row r="55" spans="1:4" x14ac:dyDescent="0.35">
      <c r="A55">
        <v>7198</v>
      </c>
      <c r="B55" t="s">
        <v>74</v>
      </c>
      <c r="C55" t="s">
        <v>211</v>
      </c>
      <c r="D55" t="s">
        <v>19</v>
      </c>
    </row>
    <row r="56" spans="1:4" x14ac:dyDescent="0.35">
      <c r="A56">
        <v>7204</v>
      </c>
      <c r="B56" t="s">
        <v>75</v>
      </c>
      <c r="C56" t="s">
        <v>211</v>
      </c>
      <c r="D56" t="s">
        <v>19</v>
      </c>
    </row>
    <row r="57" spans="1:4" x14ac:dyDescent="0.35">
      <c r="A57">
        <v>7206</v>
      </c>
      <c r="B57" t="s">
        <v>76</v>
      </c>
      <c r="C57" t="s">
        <v>211</v>
      </c>
      <c r="D57" t="s">
        <v>19</v>
      </c>
    </row>
    <row r="58" spans="1:4" x14ac:dyDescent="0.35">
      <c r="A58">
        <v>7207</v>
      </c>
      <c r="B58" t="s">
        <v>77</v>
      </c>
      <c r="C58" t="s">
        <v>211</v>
      </c>
      <c r="D58" t="s">
        <v>19</v>
      </c>
    </row>
    <row r="59" spans="1:4" x14ac:dyDescent="0.35">
      <c r="A59">
        <v>7242</v>
      </c>
      <c r="B59" t="s">
        <v>78</v>
      </c>
      <c r="C59" t="s">
        <v>211</v>
      </c>
      <c r="D59" t="s">
        <v>19</v>
      </c>
    </row>
    <row r="60" spans="1:4" x14ac:dyDescent="0.35">
      <c r="A60">
        <v>7254</v>
      </c>
      <c r="B60" t="s">
        <v>79</v>
      </c>
      <c r="C60" t="s">
        <v>211</v>
      </c>
      <c r="D60" t="s">
        <v>19</v>
      </c>
    </row>
    <row r="61" spans="1:4" x14ac:dyDescent="0.35">
      <c r="A61">
        <v>7260</v>
      </c>
      <c r="B61" t="s">
        <v>80</v>
      </c>
      <c r="C61" t="s">
        <v>211</v>
      </c>
      <c r="D61" t="s">
        <v>19</v>
      </c>
    </row>
    <row r="62" spans="1:4" x14ac:dyDescent="0.35">
      <c r="A62">
        <v>7278</v>
      </c>
      <c r="B62" t="s">
        <v>81</v>
      </c>
      <c r="C62" t="s">
        <v>211</v>
      </c>
      <c r="D62" t="s">
        <v>19</v>
      </c>
    </row>
    <row r="63" spans="1:4" x14ac:dyDescent="0.35">
      <c r="A63">
        <v>7285</v>
      </c>
      <c r="B63" t="s">
        <v>82</v>
      </c>
      <c r="C63" t="s">
        <v>211</v>
      </c>
      <c r="D63" t="s">
        <v>19</v>
      </c>
    </row>
    <row r="64" spans="1:4" x14ac:dyDescent="0.35">
      <c r="A64">
        <v>7287</v>
      </c>
      <c r="B64" t="s">
        <v>83</v>
      </c>
      <c r="C64" t="s">
        <v>211</v>
      </c>
      <c r="D64" t="s">
        <v>19</v>
      </c>
    </row>
    <row r="65" spans="1:4" x14ac:dyDescent="0.35">
      <c r="A65">
        <v>7288</v>
      </c>
      <c r="B65" t="s">
        <v>84</v>
      </c>
      <c r="C65" t="s">
        <v>211</v>
      </c>
      <c r="D65" t="s">
        <v>19</v>
      </c>
    </row>
    <row r="66" spans="1:4" x14ac:dyDescent="0.35">
      <c r="A66">
        <v>7290</v>
      </c>
      <c r="B66" t="s">
        <v>85</v>
      </c>
      <c r="C66" t="s">
        <v>211</v>
      </c>
      <c r="D66" t="s">
        <v>19</v>
      </c>
    </row>
    <row r="67" spans="1:4" x14ac:dyDescent="0.35">
      <c r="A67">
        <v>7292</v>
      </c>
      <c r="B67" t="s">
        <v>86</v>
      </c>
      <c r="C67" t="s">
        <v>211</v>
      </c>
      <c r="D67" t="s">
        <v>19</v>
      </c>
    </row>
    <row r="68" spans="1:4" x14ac:dyDescent="0.35">
      <c r="A68">
        <v>7293</v>
      </c>
      <c r="B68" t="s">
        <v>87</v>
      </c>
      <c r="C68" t="s">
        <v>211</v>
      </c>
      <c r="D68" t="s">
        <v>19</v>
      </c>
    </row>
    <row r="69" spans="1:4" x14ac:dyDescent="0.35">
      <c r="A69">
        <v>7294</v>
      </c>
      <c r="B69" t="s">
        <v>88</v>
      </c>
      <c r="C69" t="s">
        <v>211</v>
      </c>
      <c r="D69" t="s">
        <v>19</v>
      </c>
    </row>
    <row r="70" spans="1:4" x14ac:dyDescent="0.35">
      <c r="A70">
        <v>7295</v>
      </c>
      <c r="B70" t="s">
        <v>89</v>
      </c>
      <c r="C70" t="s">
        <v>211</v>
      </c>
      <c r="D70" t="s">
        <v>19</v>
      </c>
    </row>
    <row r="71" spans="1:4" x14ac:dyDescent="0.35">
      <c r="A71">
        <v>7296</v>
      </c>
      <c r="B71" t="s">
        <v>90</v>
      </c>
      <c r="C71" t="s">
        <v>211</v>
      </c>
      <c r="D71" t="s">
        <v>19</v>
      </c>
    </row>
    <row r="72" spans="1:4" x14ac:dyDescent="0.35">
      <c r="A72">
        <v>7297</v>
      </c>
      <c r="B72" t="s">
        <v>91</v>
      </c>
      <c r="C72" t="s">
        <v>211</v>
      </c>
      <c r="D72" t="s">
        <v>19</v>
      </c>
    </row>
    <row r="73" spans="1:4" x14ac:dyDescent="0.35">
      <c r="A73">
        <v>7336</v>
      </c>
      <c r="B73" t="s">
        <v>92</v>
      </c>
      <c r="C73" t="s">
        <v>211</v>
      </c>
      <c r="D73" t="s">
        <v>19</v>
      </c>
    </row>
    <row r="74" spans="1:4" x14ac:dyDescent="0.35">
      <c r="A74">
        <v>7352</v>
      </c>
      <c r="B74" t="s">
        <v>93</v>
      </c>
      <c r="C74" t="s">
        <v>211</v>
      </c>
      <c r="D74" t="s">
        <v>19</v>
      </c>
    </row>
    <row r="75" spans="1:4" x14ac:dyDescent="0.35">
      <c r="A75">
        <v>7360</v>
      </c>
      <c r="B75" t="s">
        <v>94</v>
      </c>
      <c r="C75" t="s">
        <v>211</v>
      </c>
      <c r="D75" t="s">
        <v>19</v>
      </c>
    </row>
    <row r="76" spans="1:4" x14ac:dyDescent="0.35">
      <c r="A76">
        <v>7368</v>
      </c>
      <c r="B76" t="s">
        <v>95</v>
      </c>
      <c r="C76" t="s">
        <v>211</v>
      </c>
      <c r="D76" t="s">
        <v>19</v>
      </c>
    </row>
    <row r="77" spans="1:4" x14ac:dyDescent="0.35">
      <c r="A77">
        <v>7388</v>
      </c>
      <c r="B77" t="s">
        <v>96</v>
      </c>
      <c r="C77" t="s">
        <v>211</v>
      </c>
      <c r="D77" t="s">
        <v>19</v>
      </c>
    </row>
    <row r="78" spans="1:4" x14ac:dyDescent="0.35">
      <c r="A78">
        <v>7389</v>
      </c>
      <c r="B78" t="s">
        <v>97</v>
      </c>
      <c r="C78" t="s">
        <v>211</v>
      </c>
      <c r="D78" t="s">
        <v>19</v>
      </c>
    </row>
    <row r="79" spans="1:4" x14ac:dyDescent="0.35">
      <c r="A79">
        <v>7400</v>
      </c>
      <c r="B79" t="s">
        <v>98</v>
      </c>
      <c r="C79" t="s">
        <v>211</v>
      </c>
      <c r="D79" t="s">
        <v>19</v>
      </c>
    </row>
    <row r="80" spans="1:4" x14ac:dyDescent="0.35">
      <c r="A80">
        <v>7401</v>
      </c>
      <c r="B80" t="s">
        <v>99</v>
      </c>
      <c r="C80" t="s">
        <v>211</v>
      </c>
      <c r="D80" t="s">
        <v>19</v>
      </c>
    </row>
    <row r="81" spans="1:4" x14ac:dyDescent="0.35">
      <c r="A81">
        <v>7416</v>
      </c>
      <c r="B81" t="s">
        <v>100</v>
      </c>
      <c r="C81" t="s">
        <v>211</v>
      </c>
      <c r="D81" t="s">
        <v>19</v>
      </c>
    </row>
    <row r="82" spans="1:4" x14ac:dyDescent="0.35">
      <c r="A82">
        <v>7418</v>
      </c>
      <c r="B82" t="s">
        <v>101</v>
      </c>
      <c r="C82" t="s">
        <v>211</v>
      </c>
      <c r="D82" t="s">
        <v>19</v>
      </c>
    </row>
    <row r="83" spans="1:4" x14ac:dyDescent="0.35">
      <c r="A83">
        <v>7437</v>
      </c>
      <c r="B83" t="s">
        <v>102</v>
      </c>
      <c r="C83" t="s">
        <v>211</v>
      </c>
      <c r="D83" t="s">
        <v>19</v>
      </c>
    </row>
    <row r="84" spans="1:4" x14ac:dyDescent="0.35">
      <c r="A84">
        <v>7463</v>
      </c>
      <c r="B84" t="s">
        <v>103</v>
      </c>
      <c r="C84" t="s">
        <v>211</v>
      </c>
      <c r="D84" t="s">
        <v>19</v>
      </c>
    </row>
    <row r="85" spans="1:4" x14ac:dyDescent="0.35">
      <c r="A85">
        <v>7464</v>
      </c>
      <c r="B85" t="s">
        <v>104</v>
      </c>
      <c r="C85" t="s">
        <v>211</v>
      </c>
      <c r="D85" t="s">
        <v>19</v>
      </c>
    </row>
    <row r="86" spans="1:4" x14ac:dyDescent="0.35">
      <c r="A86">
        <v>7466</v>
      </c>
      <c r="B86" t="s">
        <v>105</v>
      </c>
      <c r="C86" t="s">
        <v>211</v>
      </c>
      <c r="D86" t="s">
        <v>19</v>
      </c>
    </row>
    <row r="87" spans="1:4" x14ac:dyDescent="0.35">
      <c r="A87">
        <v>4916</v>
      </c>
      <c r="B87" t="s">
        <v>106</v>
      </c>
      <c r="C87" t="s">
        <v>211</v>
      </c>
      <c r="D87" t="s">
        <v>19</v>
      </c>
    </row>
    <row r="88" spans="1:4" x14ac:dyDescent="0.35">
      <c r="A88">
        <v>5136</v>
      </c>
      <c r="B88" t="s">
        <v>110</v>
      </c>
      <c r="C88" t="s">
        <v>211</v>
      </c>
      <c r="D88" t="s">
        <v>19</v>
      </c>
    </row>
    <row r="89" spans="1:4" x14ac:dyDescent="0.35">
      <c r="A89">
        <v>5280</v>
      </c>
      <c r="B89" t="s">
        <v>111</v>
      </c>
      <c r="C89" t="s">
        <v>211</v>
      </c>
      <c r="D89" t="s">
        <v>19</v>
      </c>
    </row>
    <row r="90" spans="1:4" x14ac:dyDescent="0.35">
      <c r="A90">
        <v>5833</v>
      </c>
      <c r="B90" t="s">
        <v>112</v>
      </c>
      <c r="C90" t="s">
        <v>211</v>
      </c>
      <c r="D90" t="s">
        <v>19</v>
      </c>
    </row>
    <row r="91" spans="1:4" x14ac:dyDescent="0.35">
      <c r="A91">
        <v>5945</v>
      </c>
      <c r="B91" t="s">
        <v>113</v>
      </c>
      <c r="C91" t="s">
        <v>211</v>
      </c>
      <c r="D91" t="s">
        <v>19</v>
      </c>
    </row>
    <row r="92" spans="1:4" x14ac:dyDescent="0.35">
      <c r="A92">
        <v>6069</v>
      </c>
      <c r="B92" t="s">
        <v>114</v>
      </c>
      <c r="C92" t="s">
        <v>211</v>
      </c>
      <c r="D92" t="s">
        <v>19</v>
      </c>
    </row>
    <row r="93" spans="1:4" x14ac:dyDescent="0.35">
      <c r="A93">
        <v>7014</v>
      </c>
      <c r="B93" t="s">
        <v>115</v>
      </c>
      <c r="C93" t="s">
        <v>211</v>
      </c>
      <c r="D93" t="s">
        <v>19</v>
      </c>
    </row>
    <row r="94" spans="1:4" x14ac:dyDescent="0.35">
      <c r="A94">
        <v>7289</v>
      </c>
      <c r="B94" t="s">
        <v>116</v>
      </c>
      <c r="C94" t="s">
        <v>211</v>
      </c>
      <c r="D94" t="s">
        <v>19</v>
      </c>
    </row>
    <row r="95" spans="1:4" x14ac:dyDescent="0.35">
      <c r="A95">
        <v>7361</v>
      </c>
      <c r="B95" t="s">
        <v>117</v>
      </c>
      <c r="C95" t="s">
        <v>211</v>
      </c>
      <c r="D95" t="s">
        <v>19</v>
      </c>
    </row>
    <row r="96" spans="1:4" x14ac:dyDescent="0.35">
      <c r="A96">
        <v>1416</v>
      </c>
      <c r="B96" t="s">
        <v>118</v>
      </c>
      <c r="C96" t="s">
        <v>211</v>
      </c>
      <c r="D96" t="s">
        <v>19</v>
      </c>
    </row>
    <row r="97" spans="1:4" x14ac:dyDescent="0.35">
      <c r="A97">
        <v>5256</v>
      </c>
      <c r="B97" t="s">
        <v>119</v>
      </c>
      <c r="C97" t="s">
        <v>211</v>
      </c>
      <c r="D97" t="s">
        <v>19</v>
      </c>
    </row>
    <row r="98" spans="1:4" x14ac:dyDescent="0.35">
      <c r="A98">
        <v>5567</v>
      </c>
      <c r="B98" t="s">
        <v>120</v>
      </c>
      <c r="C98" t="s">
        <v>211</v>
      </c>
      <c r="D98" t="s">
        <v>19</v>
      </c>
    </row>
    <row r="99" spans="1:4" x14ac:dyDescent="0.35">
      <c r="A99">
        <v>5573</v>
      </c>
      <c r="B99" t="s">
        <v>121</v>
      </c>
      <c r="C99" t="s">
        <v>211</v>
      </c>
      <c r="D99" t="s">
        <v>19</v>
      </c>
    </row>
    <row r="100" spans="1:4" x14ac:dyDescent="0.35">
      <c r="A100">
        <v>5820</v>
      </c>
      <c r="B100" t="s">
        <v>122</v>
      </c>
      <c r="C100" t="s">
        <v>211</v>
      </c>
      <c r="D100" t="s">
        <v>19</v>
      </c>
    </row>
    <row r="101" spans="1:4" x14ac:dyDescent="0.35">
      <c r="A101">
        <v>5942</v>
      </c>
      <c r="B101" t="s">
        <v>123</v>
      </c>
      <c r="C101" t="s">
        <v>211</v>
      </c>
      <c r="D101" t="s">
        <v>19</v>
      </c>
    </row>
    <row r="102" spans="1:4" x14ac:dyDescent="0.35">
      <c r="A102">
        <v>7002</v>
      </c>
      <c r="B102" t="s">
        <v>124</v>
      </c>
      <c r="C102" t="s">
        <v>211</v>
      </c>
      <c r="D102" t="s">
        <v>19</v>
      </c>
    </row>
    <row r="103" spans="1:4" x14ac:dyDescent="0.35">
      <c r="A103">
        <v>7008</v>
      </c>
      <c r="B103" t="s">
        <v>125</v>
      </c>
      <c r="C103" t="s">
        <v>211</v>
      </c>
      <c r="D103" t="s">
        <v>19</v>
      </c>
    </row>
    <row r="104" spans="1:4" x14ac:dyDescent="0.35">
      <c r="A104">
        <v>7010</v>
      </c>
      <c r="B104" t="s">
        <v>126</v>
      </c>
      <c r="C104" t="s">
        <v>211</v>
      </c>
      <c r="D104" t="s">
        <v>19</v>
      </c>
    </row>
    <row r="105" spans="1:4" x14ac:dyDescent="0.35">
      <c r="A105">
        <v>7015</v>
      </c>
      <c r="B105" t="s">
        <v>127</v>
      </c>
      <c r="C105" t="s">
        <v>211</v>
      </c>
      <c r="D105" t="s">
        <v>19</v>
      </c>
    </row>
    <row r="106" spans="1:4" x14ac:dyDescent="0.35">
      <c r="A106">
        <v>7117</v>
      </c>
      <c r="B106" t="s">
        <v>128</v>
      </c>
      <c r="C106" t="s">
        <v>211</v>
      </c>
      <c r="D106" t="s">
        <v>19</v>
      </c>
    </row>
    <row r="107" spans="1:4" x14ac:dyDescent="0.35">
      <c r="A107">
        <v>7412</v>
      </c>
      <c r="B107" t="s">
        <v>129</v>
      </c>
      <c r="C107" t="s">
        <v>211</v>
      </c>
      <c r="D107" t="s">
        <v>19</v>
      </c>
    </row>
    <row r="108" spans="1:4" x14ac:dyDescent="0.35">
      <c r="A108">
        <v>7498</v>
      </c>
      <c r="B108" t="s">
        <v>130</v>
      </c>
      <c r="C108" t="s">
        <v>211</v>
      </c>
      <c r="D108" t="s">
        <v>19</v>
      </c>
    </row>
    <row r="109" spans="1:4" x14ac:dyDescent="0.35">
      <c r="A109">
        <v>100</v>
      </c>
      <c r="B109" t="s">
        <v>131</v>
      </c>
      <c r="C109" t="s">
        <v>211</v>
      </c>
      <c r="D109" t="s">
        <v>19</v>
      </c>
    </row>
    <row r="110" spans="1:4" x14ac:dyDescent="0.35">
      <c r="A110">
        <v>0</v>
      </c>
      <c r="B110" t="s">
        <v>21</v>
      </c>
    </row>
    <row r="111" spans="1:4" x14ac:dyDescent="0.35">
      <c r="A111">
        <v>0</v>
      </c>
      <c r="B111" t="s">
        <v>21</v>
      </c>
    </row>
    <row r="112" spans="1:4" x14ac:dyDescent="0.35">
      <c r="A112">
        <v>0</v>
      </c>
      <c r="B112" t="s">
        <v>21</v>
      </c>
    </row>
    <row r="113" spans="1:2" x14ac:dyDescent="0.35">
      <c r="A113">
        <v>0</v>
      </c>
      <c r="B113" t="s">
        <v>21</v>
      </c>
    </row>
    <row r="114" spans="1:2" x14ac:dyDescent="0.35">
      <c r="A114">
        <v>0</v>
      </c>
      <c r="B114" t="s">
        <v>21</v>
      </c>
    </row>
    <row r="115" spans="1:2" x14ac:dyDescent="0.35">
      <c r="A115">
        <v>0</v>
      </c>
      <c r="B115" t="s">
        <v>21</v>
      </c>
    </row>
    <row r="116" spans="1:2" x14ac:dyDescent="0.35">
      <c r="A116">
        <v>0</v>
      </c>
      <c r="B116" t="s">
        <v>21</v>
      </c>
    </row>
    <row r="117" spans="1:2" x14ac:dyDescent="0.35">
      <c r="A117">
        <v>0</v>
      </c>
      <c r="B117" t="s">
        <v>21</v>
      </c>
    </row>
    <row r="118" spans="1:2" x14ac:dyDescent="0.35">
      <c r="A118">
        <v>0</v>
      </c>
      <c r="B118" t="s">
        <v>21</v>
      </c>
    </row>
    <row r="119" spans="1:2" x14ac:dyDescent="0.35">
      <c r="A119">
        <v>0</v>
      </c>
      <c r="B119" t="s">
        <v>21</v>
      </c>
    </row>
    <row r="120" spans="1:2" x14ac:dyDescent="0.35">
      <c r="A120">
        <v>0</v>
      </c>
      <c r="B120" t="s">
        <v>21</v>
      </c>
    </row>
    <row r="121" spans="1:2" x14ac:dyDescent="0.35">
      <c r="A121">
        <v>0</v>
      </c>
      <c r="B121" t="s">
        <v>21</v>
      </c>
    </row>
    <row r="122" spans="1:2" x14ac:dyDescent="0.35">
      <c r="A122">
        <v>0</v>
      </c>
      <c r="B122" t="s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B5" sqref="B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133</v>
      </c>
      <c r="D1" s="1" t="s">
        <v>134</v>
      </c>
      <c r="E1" t="s">
        <v>3</v>
      </c>
    </row>
    <row r="2" spans="1:5" x14ac:dyDescent="0.35">
      <c r="A2" s="1">
        <v>0</v>
      </c>
      <c r="B2" s="1">
        <v>0</v>
      </c>
      <c r="C2" s="1"/>
      <c r="D2" s="1"/>
    </row>
    <row r="3" spans="1:5" x14ac:dyDescent="0.35">
      <c r="A3" s="1">
        <v>100</v>
      </c>
      <c r="B3" s="1" t="s">
        <v>135</v>
      </c>
      <c r="C3" s="1" t="s">
        <v>136</v>
      </c>
      <c r="D3" s="1">
        <v>0</v>
      </c>
      <c r="E3">
        <v>3</v>
      </c>
    </row>
    <row r="4" spans="1:5" x14ac:dyDescent="0.35">
      <c r="A4" s="1">
        <v>2111</v>
      </c>
      <c r="B4" s="1" t="s">
        <v>137</v>
      </c>
      <c r="C4" s="1" t="s">
        <v>138</v>
      </c>
      <c r="D4" s="1" t="s">
        <v>139</v>
      </c>
      <c r="E4">
        <v>4</v>
      </c>
    </row>
    <row r="5" spans="1:5" x14ac:dyDescent="0.35">
      <c r="A5" s="1">
        <v>2112</v>
      </c>
      <c r="B5" s="1" t="s">
        <v>140</v>
      </c>
      <c r="C5" s="1" t="s">
        <v>141</v>
      </c>
      <c r="D5" s="1" t="s">
        <v>139</v>
      </c>
      <c r="E5">
        <v>3</v>
      </c>
    </row>
    <row r="6" spans="1:5" x14ac:dyDescent="0.35">
      <c r="A6" s="1">
        <v>2113</v>
      </c>
      <c r="B6" s="1" t="s">
        <v>142</v>
      </c>
      <c r="C6" s="1" t="s">
        <v>143</v>
      </c>
      <c r="D6" s="1" t="s">
        <v>144</v>
      </c>
      <c r="E6">
        <v>3</v>
      </c>
    </row>
    <row r="7" spans="1:5" x14ac:dyDescent="0.35">
      <c r="A7" s="1">
        <v>2114</v>
      </c>
      <c r="B7" s="1" t="s">
        <v>145</v>
      </c>
      <c r="C7" s="1" t="s">
        <v>146</v>
      </c>
      <c r="D7" s="1" t="s">
        <v>147</v>
      </c>
      <c r="E7">
        <v>3</v>
      </c>
    </row>
    <row r="8" spans="1:5" x14ac:dyDescent="0.35">
      <c r="A8" s="1">
        <v>0</v>
      </c>
      <c r="B8" s="1">
        <v>0</v>
      </c>
      <c r="C8" s="1" t="s">
        <v>21</v>
      </c>
      <c r="D8" s="1" t="s">
        <v>21</v>
      </c>
    </row>
    <row r="9" spans="1:5" x14ac:dyDescent="0.35">
      <c r="A9" s="1">
        <v>0</v>
      </c>
      <c r="B9" s="1">
        <v>0</v>
      </c>
      <c r="C9" s="1" t="s">
        <v>21</v>
      </c>
      <c r="D9" s="1" t="s">
        <v>21</v>
      </c>
    </row>
    <row r="10" spans="1:5" x14ac:dyDescent="0.35">
      <c r="A10" s="1">
        <v>0</v>
      </c>
      <c r="B10" s="1">
        <v>0</v>
      </c>
      <c r="C10" s="1" t="s">
        <v>21</v>
      </c>
      <c r="D10" s="1" t="s">
        <v>21</v>
      </c>
    </row>
    <row r="11" spans="1:5" x14ac:dyDescent="0.35">
      <c r="A11" s="1">
        <v>0</v>
      </c>
      <c r="B11" s="1">
        <v>0</v>
      </c>
      <c r="C11" s="1" t="s">
        <v>21</v>
      </c>
      <c r="D11" s="1" t="s">
        <v>21</v>
      </c>
    </row>
    <row r="12" spans="1:5" x14ac:dyDescent="0.35">
      <c r="A12" s="1">
        <v>0</v>
      </c>
      <c r="B12" s="1">
        <v>0</v>
      </c>
      <c r="C12" s="1" t="s">
        <v>21</v>
      </c>
      <c r="D12" s="1" t="s">
        <v>21</v>
      </c>
    </row>
    <row r="13" spans="1:5" x14ac:dyDescent="0.35">
      <c r="A13" s="1">
        <v>0</v>
      </c>
      <c r="B13" s="1" t="s">
        <v>148</v>
      </c>
      <c r="C13" s="1" t="s">
        <v>21</v>
      </c>
      <c r="D13" s="1" t="s">
        <v>21</v>
      </c>
    </row>
    <row r="14" spans="1:5" x14ac:dyDescent="0.35">
      <c r="A14" s="1">
        <v>2305</v>
      </c>
      <c r="B14" s="1" t="s">
        <v>149</v>
      </c>
      <c r="C14" s="1" t="s">
        <v>21</v>
      </c>
      <c r="D14" s="1">
        <v>0</v>
      </c>
      <c r="E14">
        <v>4</v>
      </c>
    </row>
    <row r="15" spans="1:5" x14ac:dyDescent="0.35">
      <c r="A15" s="1">
        <v>2302</v>
      </c>
      <c r="B15" s="1" t="s">
        <v>150</v>
      </c>
      <c r="C15" s="1" t="s">
        <v>21</v>
      </c>
      <c r="D15" s="1">
        <v>0</v>
      </c>
      <c r="E15">
        <v>3</v>
      </c>
    </row>
    <row r="16" spans="1:5" x14ac:dyDescent="0.35">
      <c r="A16" s="1">
        <v>2303</v>
      </c>
      <c r="B16" s="1" t="s">
        <v>151</v>
      </c>
      <c r="C16" s="1" t="s">
        <v>152</v>
      </c>
      <c r="D16" s="1" t="s">
        <v>153</v>
      </c>
      <c r="E16">
        <v>3</v>
      </c>
    </row>
    <row r="17" spans="1:5" x14ac:dyDescent="0.35">
      <c r="A17" s="1">
        <v>2304</v>
      </c>
      <c r="B17" s="1" t="s">
        <v>154</v>
      </c>
      <c r="C17" s="1" t="s">
        <v>155</v>
      </c>
      <c r="D17" s="1" t="s">
        <v>156</v>
      </c>
      <c r="E17">
        <v>3</v>
      </c>
    </row>
    <row r="18" spans="1:5" x14ac:dyDescent="0.35">
      <c r="A18" s="1">
        <v>2201</v>
      </c>
      <c r="B18" s="1" t="s">
        <v>157</v>
      </c>
      <c r="C18" s="1" t="s">
        <v>21</v>
      </c>
      <c r="D18" s="1">
        <v>0</v>
      </c>
      <c r="E18">
        <v>3</v>
      </c>
    </row>
    <row r="19" spans="1:5" x14ac:dyDescent="0.35">
      <c r="A19" s="1">
        <v>0</v>
      </c>
      <c r="B19" s="1">
        <v>0</v>
      </c>
      <c r="C19" s="1" t="s">
        <v>21</v>
      </c>
      <c r="D19" s="1" t="s">
        <v>21</v>
      </c>
    </row>
    <row r="20" spans="1:5" x14ac:dyDescent="0.35">
      <c r="A20" s="1">
        <v>0</v>
      </c>
      <c r="B20" s="1">
        <v>0</v>
      </c>
      <c r="C20" s="1" t="s">
        <v>21</v>
      </c>
      <c r="D20" s="1" t="s">
        <v>21</v>
      </c>
    </row>
    <row r="21" spans="1:5" x14ac:dyDescent="0.35">
      <c r="A21" s="1">
        <v>0</v>
      </c>
      <c r="B21" s="1">
        <v>0</v>
      </c>
      <c r="C21" s="1" t="s">
        <v>21</v>
      </c>
      <c r="D21" s="1" t="s">
        <v>21</v>
      </c>
    </row>
    <row r="22" spans="1:5" x14ac:dyDescent="0.35">
      <c r="A22" s="1">
        <v>0</v>
      </c>
      <c r="B22" s="1">
        <v>0</v>
      </c>
      <c r="C22" s="1" t="s">
        <v>21</v>
      </c>
      <c r="D22" s="1" t="s">
        <v>21</v>
      </c>
    </row>
    <row r="23" spans="1:5" x14ac:dyDescent="0.35">
      <c r="A23" s="1">
        <v>0</v>
      </c>
      <c r="B23" s="1">
        <v>0</v>
      </c>
      <c r="C23" s="1" t="s">
        <v>21</v>
      </c>
      <c r="D23" s="1" t="s">
        <v>21</v>
      </c>
    </row>
    <row r="24" spans="1:5" x14ac:dyDescent="0.35">
      <c r="A24" s="1">
        <v>0</v>
      </c>
      <c r="B24" s="1">
        <v>0</v>
      </c>
      <c r="C24" s="1" t="s">
        <v>21</v>
      </c>
      <c r="D24" s="1" t="s">
        <v>21</v>
      </c>
    </row>
    <row r="25" spans="1:5" x14ac:dyDescent="0.35">
      <c r="A25" s="1">
        <v>0</v>
      </c>
      <c r="B25" s="1" t="s">
        <v>158</v>
      </c>
      <c r="C25" s="1" t="s">
        <v>21</v>
      </c>
      <c r="D25" s="1" t="s">
        <v>21</v>
      </c>
    </row>
    <row r="26" spans="1:5" x14ac:dyDescent="0.35">
      <c r="A26" s="1">
        <v>1102</v>
      </c>
      <c r="B26" s="1" t="s">
        <v>159</v>
      </c>
      <c r="C26" s="1" t="s">
        <v>160</v>
      </c>
      <c r="D26" s="1">
        <v>0</v>
      </c>
      <c r="E26">
        <v>3</v>
      </c>
    </row>
    <row r="27" spans="1:5" x14ac:dyDescent="0.35">
      <c r="A27" s="1">
        <v>2311</v>
      </c>
      <c r="B27" s="1" t="s">
        <v>161</v>
      </c>
      <c r="C27" s="1" t="s">
        <v>162</v>
      </c>
      <c r="D27" s="1" t="s">
        <v>163</v>
      </c>
      <c r="E27">
        <v>4</v>
      </c>
    </row>
    <row r="28" spans="1:5" x14ac:dyDescent="0.35">
      <c r="A28" s="1">
        <v>2402</v>
      </c>
      <c r="B28" s="1" t="s">
        <v>164</v>
      </c>
      <c r="C28" s="1" t="s">
        <v>165</v>
      </c>
      <c r="D28" s="1" t="s">
        <v>139</v>
      </c>
      <c r="E28">
        <v>3</v>
      </c>
    </row>
    <row r="29" spans="1:5" x14ac:dyDescent="0.35">
      <c r="A29" s="1">
        <v>2313</v>
      </c>
      <c r="B29" s="1" t="s">
        <v>166</v>
      </c>
      <c r="C29" s="1" t="s">
        <v>167</v>
      </c>
      <c r="D29" s="1" t="s">
        <v>156</v>
      </c>
      <c r="E29">
        <v>4</v>
      </c>
    </row>
    <row r="30" spans="1:5" x14ac:dyDescent="0.35">
      <c r="A30" s="1">
        <v>2504</v>
      </c>
      <c r="B30" s="1" t="s">
        <v>168</v>
      </c>
      <c r="C30" s="1" t="s">
        <v>141</v>
      </c>
      <c r="D30" s="1" t="s">
        <v>169</v>
      </c>
      <c r="E30">
        <v>3</v>
      </c>
    </row>
    <row r="31" spans="1:5" x14ac:dyDescent="0.35">
      <c r="A31" s="1">
        <v>0</v>
      </c>
      <c r="B31" s="1">
        <v>0</v>
      </c>
      <c r="C31" s="1" t="s">
        <v>21</v>
      </c>
      <c r="D31" s="1" t="s">
        <v>21</v>
      </c>
    </row>
    <row r="32" spans="1:5" x14ac:dyDescent="0.35">
      <c r="A32" s="1">
        <v>0</v>
      </c>
      <c r="B32" s="1">
        <v>0</v>
      </c>
      <c r="C32" s="1" t="s">
        <v>21</v>
      </c>
      <c r="D32" s="1" t="s">
        <v>21</v>
      </c>
    </row>
    <row r="33" spans="1:5" x14ac:dyDescent="0.35">
      <c r="A33" s="1">
        <v>0</v>
      </c>
      <c r="B33" s="1">
        <v>0</v>
      </c>
      <c r="C33" s="1" t="s">
        <v>21</v>
      </c>
      <c r="D33" s="1" t="s">
        <v>21</v>
      </c>
    </row>
    <row r="34" spans="1:5" x14ac:dyDescent="0.35">
      <c r="A34" s="1">
        <v>0</v>
      </c>
      <c r="B34" s="1">
        <v>0</v>
      </c>
      <c r="C34" s="1" t="s">
        <v>21</v>
      </c>
      <c r="D34" s="1" t="s">
        <v>21</v>
      </c>
    </row>
    <row r="35" spans="1:5" x14ac:dyDescent="0.35">
      <c r="A35" s="1">
        <v>0</v>
      </c>
      <c r="B35" s="1">
        <v>0</v>
      </c>
      <c r="C35" s="1" t="s">
        <v>21</v>
      </c>
      <c r="D35" s="1" t="s">
        <v>21</v>
      </c>
    </row>
    <row r="36" spans="1:5" x14ac:dyDescent="0.35">
      <c r="A36" s="1">
        <v>0</v>
      </c>
      <c r="B36" s="1" t="s">
        <v>170</v>
      </c>
      <c r="C36" s="1" t="s">
        <v>21</v>
      </c>
      <c r="D36" s="1" t="s">
        <v>21</v>
      </c>
    </row>
    <row r="37" spans="1:5" x14ac:dyDescent="0.35">
      <c r="A37" s="1">
        <v>2301</v>
      </c>
      <c r="B37" s="1" t="s">
        <v>171</v>
      </c>
      <c r="C37" s="1" t="s">
        <v>172</v>
      </c>
      <c r="D37" s="1" t="s">
        <v>147</v>
      </c>
      <c r="E37">
        <v>4</v>
      </c>
    </row>
    <row r="38" spans="1:5" x14ac:dyDescent="0.35">
      <c r="A38" s="1">
        <v>2404</v>
      </c>
      <c r="B38" s="1" t="s">
        <v>173</v>
      </c>
      <c r="C38" s="1" t="s">
        <v>21</v>
      </c>
      <c r="D38" s="1">
        <v>0</v>
      </c>
      <c r="E38">
        <v>4</v>
      </c>
    </row>
    <row r="39" spans="1:5" x14ac:dyDescent="0.35">
      <c r="A39" s="1">
        <v>2202</v>
      </c>
      <c r="B39" s="1" t="s">
        <v>174</v>
      </c>
      <c r="C39" s="1" t="s">
        <v>21</v>
      </c>
      <c r="D39" s="1">
        <v>0</v>
      </c>
      <c r="E39">
        <v>3</v>
      </c>
    </row>
    <row r="40" spans="1:5" x14ac:dyDescent="0.35">
      <c r="A40" s="1">
        <v>3110</v>
      </c>
      <c r="B40" s="1" t="s">
        <v>175</v>
      </c>
      <c r="C40" s="1" t="s">
        <v>136</v>
      </c>
      <c r="D40" s="1">
        <v>0</v>
      </c>
      <c r="E40">
        <v>3</v>
      </c>
    </row>
    <row r="41" spans="1:5" x14ac:dyDescent="0.35">
      <c r="A41" s="1">
        <v>10101</v>
      </c>
      <c r="B41" s="1" t="s">
        <v>176</v>
      </c>
      <c r="C41" s="1" t="s">
        <v>177</v>
      </c>
      <c r="D41" s="1">
        <v>0</v>
      </c>
      <c r="E41">
        <v>3</v>
      </c>
    </row>
    <row r="42" spans="1:5" x14ac:dyDescent="0.35">
      <c r="A42" s="1">
        <v>0</v>
      </c>
      <c r="B42" s="1">
        <v>0</v>
      </c>
      <c r="C42" s="1" t="s">
        <v>21</v>
      </c>
      <c r="D42" s="1" t="s">
        <v>21</v>
      </c>
    </row>
    <row r="43" spans="1:5" x14ac:dyDescent="0.35">
      <c r="A43" s="1">
        <v>0</v>
      </c>
      <c r="B43" s="1">
        <v>0</v>
      </c>
      <c r="C43" s="1" t="s">
        <v>21</v>
      </c>
      <c r="D43" s="1" t="s">
        <v>21</v>
      </c>
    </row>
    <row r="44" spans="1:5" x14ac:dyDescent="0.35">
      <c r="A44" s="1">
        <v>0</v>
      </c>
      <c r="B44" s="1">
        <v>0</v>
      </c>
      <c r="C44" s="1" t="s">
        <v>21</v>
      </c>
      <c r="D44" s="1" t="s">
        <v>21</v>
      </c>
    </row>
    <row r="45" spans="1:5" x14ac:dyDescent="0.35">
      <c r="A45" s="1">
        <v>0</v>
      </c>
      <c r="B45" s="1">
        <v>0</v>
      </c>
      <c r="C45" s="1" t="s">
        <v>21</v>
      </c>
      <c r="D45" s="1" t="s">
        <v>21</v>
      </c>
    </row>
    <row r="46" spans="1:5" x14ac:dyDescent="0.35">
      <c r="A46" s="1">
        <v>0</v>
      </c>
      <c r="B46" s="1">
        <v>0</v>
      </c>
      <c r="C46" s="1" t="s">
        <v>21</v>
      </c>
      <c r="D46" s="1" t="s">
        <v>21</v>
      </c>
    </row>
    <row r="47" spans="1:5" x14ac:dyDescent="0.35">
      <c r="A47" s="1">
        <v>0</v>
      </c>
      <c r="B47" s="1" t="s">
        <v>178</v>
      </c>
      <c r="C47" s="1" t="s">
        <v>21</v>
      </c>
      <c r="D47" s="1" t="s">
        <v>21</v>
      </c>
    </row>
    <row r="48" spans="1:5" x14ac:dyDescent="0.35">
      <c r="A48" s="1">
        <v>2401</v>
      </c>
      <c r="B48" s="1" t="s">
        <v>179</v>
      </c>
      <c r="C48" s="1" t="s">
        <v>180</v>
      </c>
      <c r="D48" s="1" t="s">
        <v>144</v>
      </c>
      <c r="E48">
        <v>3</v>
      </c>
    </row>
    <row r="49" spans="1:5" x14ac:dyDescent="0.35">
      <c r="A49" s="1">
        <v>2512</v>
      </c>
      <c r="B49" s="1" t="s">
        <v>181</v>
      </c>
      <c r="C49" s="1" t="s">
        <v>162</v>
      </c>
      <c r="D49" s="1" t="s">
        <v>147</v>
      </c>
      <c r="E49">
        <v>3</v>
      </c>
    </row>
    <row r="50" spans="1:5" x14ac:dyDescent="0.35">
      <c r="A50" s="1">
        <v>2513</v>
      </c>
      <c r="B50" s="1" t="s">
        <v>182</v>
      </c>
      <c r="C50" s="1" t="s">
        <v>146</v>
      </c>
      <c r="D50" s="1" t="s">
        <v>163</v>
      </c>
      <c r="E50">
        <v>4</v>
      </c>
    </row>
    <row r="51" spans="1:5" x14ac:dyDescent="0.35">
      <c r="A51" s="1">
        <v>2514</v>
      </c>
      <c r="B51" s="1" t="s">
        <v>183</v>
      </c>
      <c r="C51" s="1" t="s">
        <v>152</v>
      </c>
      <c r="D51" s="1" t="s">
        <v>184</v>
      </c>
      <c r="E51">
        <v>3</v>
      </c>
    </row>
    <row r="52" spans="1:5" x14ac:dyDescent="0.35">
      <c r="A52" s="1">
        <v>2515</v>
      </c>
      <c r="B52" s="1" t="s">
        <v>185</v>
      </c>
      <c r="C52" s="1" t="s">
        <v>143</v>
      </c>
      <c r="D52" s="1" t="s">
        <v>153</v>
      </c>
      <c r="E52">
        <v>3</v>
      </c>
    </row>
    <row r="53" spans="1:5" x14ac:dyDescent="0.35">
      <c r="A53" s="1">
        <v>0</v>
      </c>
      <c r="B53" s="1">
        <v>0</v>
      </c>
      <c r="C53" s="1" t="s">
        <v>21</v>
      </c>
      <c r="D53" s="1" t="s">
        <v>21</v>
      </c>
    </row>
    <row r="54" spans="1:5" x14ac:dyDescent="0.35">
      <c r="A54" s="1">
        <v>0</v>
      </c>
      <c r="B54" s="1">
        <v>0</v>
      </c>
      <c r="C54" s="1" t="s">
        <v>21</v>
      </c>
      <c r="D54" s="1" t="s">
        <v>21</v>
      </c>
    </row>
    <row r="55" spans="1:5" x14ac:dyDescent="0.35">
      <c r="A55" s="1">
        <v>0</v>
      </c>
      <c r="B55" s="1">
        <v>0</v>
      </c>
      <c r="C55" s="1" t="s">
        <v>21</v>
      </c>
      <c r="D55" s="1" t="s">
        <v>21</v>
      </c>
    </row>
    <row r="56" spans="1:5" x14ac:dyDescent="0.35">
      <c r="A56" s="1">
        <v>0</v>
      </c>
      <c r="B56" s="1">
        <v>0</v>
      </c>
      <c r="C56" s="1" t="s">
        <v>21</v>
      </c>
      <c r="D56" s="1" t="s">
        <v>21</v>
      </c>
    </row>
    <row r="57" spans="1:5" x14ac:dyDescent="0.35">
      <c r="A57" s="1">
        <v>0</v>
      </c>
      <c r="B57" s="1">
        <v>0</v>
      </c>
      <c r="C57" s="1" t="s">
        <v>21</v>
      </c>
      <c r="D57" s="1" t="s">
        <v>21</v>
      </c>
    </row>
    <row r="58" spans="1:5" x14ac:dyDescent="0.35">
      <c r="A58" s="1">
        <v>0</v>
      </c>
      <c r="B58" s="1" t="s">
        <v>186</v>
      </c>
      <c r="C58" s="1" t="s">
        <v>21</v>
      </c>
      <c r="D58" s="1" t="s">
        <v>21</v>
      </c>
    </row>
    <row r="59" spans="1:5" x14ac:dyDescent="0.35">
      <c r="A59" s="1">
        <v>2701</v>
      </c>
      <c r="B59" s="1" t="s">
        <v>187</v>
      </c>
      <c r="C59" s="1" t="s">
        <v>21</v>
      </c>
      <c r="D59" s="1">
        <v>0</v>
      </c>
      <c r="E59">
        <v>4</v>
      </c>
    </row>
    <row r="60" spans="1:5" x14ac:dyDescent="0.35">
      <c r="A60" s="1">
        <v>2502</v>
      </c>
      <c r="B60" s="1" t="s">
        <v>188</v>
      </c>
      <c r="C60" s="1" t="s">
        <v>21</v>
      </c>
      <c r="D60" s="1">
        <v>0</v>
      </c>
      <c r="E60">
        <v>3</v>
      </c>
    </row>
    <row r="61" spans="1:5" x14ac:dyDescent="0.35">
      <c r="A61" s="1">
        <v>2603</v>
      </c>
      <c r="B61" s="1" t="s">
        <v>189</v>
      </c>
      <c r="C61" s="1" t="s">
        <v>180</v>
      </c>
      <c r="D61" s="1" t="s">
        <v>153</v>
      </c>
      <c r="E61">
        <v>3</v>
      </c>
    </row>
    <row r="62" spans="1:5" x14ac:dyDescent="0.35">
      <c r="A62" s="1">
        <v>2614</v>
      </c>
      <c r="B62" s="1" t="s">
        <v>190</v>
      </c>
      <c r="C62" s="1" t="s">
        <v>152</v>
      </c>
      <c r="D62" s="1" t="s">
        <v>144</v>
      </c>
      <c r="E62">
        <v>3</v>
      </c>
    </row>
    <row r="63" spans="1:5" x14ac:dyDescent="0.35">
      <c r="A63" s="1">
        <v>2615</v>
      </c>
      <c r="B63" s="1" t="s">
        <v>191</v>
      </c>
      <c r="C63" s="1" t="s">
        <v>21</v>
      </c>
      <c r="D63" s="1">
        <v>0</v>
      </c>
      <c r="E63">
        <v>3</v>
      </c>
    </row>
    <row r="64" spans="1:5" x14ac:dyDescent="0.35">
      <c r="A64" s="1">
        <v>0</v>
      </c>
      <c r="B64" s="1">
        <v>0</v>
      </c>
      <c r="C64" s="1" t="s">
        <v>21</v>
      </c>
      <c r="D64" s="1" t="s">
        <v>21</v>
      </c>
    </row>
    <row r="65" spans="1:5" x14ac:dyDescent="0.35">
      <c r="A65" s="1">
        <v>0</v>
      </c>
      <c r="B65" s="1">
        <v>0</v>
      </c>
      <c r="C65" s="1" t="s">
        <v>21</v>
      </c>
      <c r="D65" s="1" t="s">
        <v>21</v>
      </c>
    </row>
    <row r="66" spans="1:5" x14ac:dyDescent="0.35">
      <c r="A66" s="1">
        <v>0</v>
      </c>
      <c r="B66" s="1">
        <v>0</v>
      </c>
      <c r="C66" s="1" t="s">
        <v>21</v>
      </c>
      <c r="D66" s="1" t="s">
        <v>21</v>
      </c>
    </row>
    <row r="67" spans="1:5" x14ac:dyDescent="0.35">
      <c r="A67" s="1">
        <v>0</v>
      </c>
      <c r="B67" s="1">
        <v>0</v>
      </c>
      <c r="C67" s="1" t="s">
        <v>21</v>
      </c>
      <c r="D67" s="1" t="s">
        <v>21</v>
      </c>
    </row>
    <row r="68" spans="1:5" x14ac:dyDescent="0.35">
      <c r="A68" s="1">
        <v>0</v>
      </c>
      <c r="B68" s="1">
        <v>0</v>
      </c>
      <c r="C68" s="1" t="s">
        <v>21</v>
      </c>
      <c r="D68" s="1" t="s">
        <v>21</v>
      </c>
    </row>
    <row r="69" spans="1:5" x14ac:dyDescent="0.35">
      <c r="A69" s="1">
        <v>0</v>
      </c>
      <c r="B69" s="1" t="s">
        <v>192</v>
      </c>
      <c r="C69" s="1" t="s">
        <v>21</v>
      </c>
      <c r="D69" s="1" t="s">
        <v>21</v>
      </c>
    </row>
    <row r="70" spans="1:5" x14ac:dyDescent="0.35">
      <c r="A70" s="1">
        <v>2711</v>
      </c>
      <c r="B70" s="1" t="s">
        <v>193</v>
      </c>
      <c r="C70" s="1" t="s">
        <v>21</v>
      </c>
      <c r="D70" s="1">
        <v>0</v>
      </c>
      <c r="E70">
        <v>3</v>
      </c>
    </row>
    <row r="71" spans="1:5" x14ac:dyDescent="0.35">
      <c r="A71" s="1">
        <v>2703</v>
      </c>
      <c r="B71" s="1" t="s">
        <v>194</v>
      </c>
      <c r="C71" s="1" t="s">
        <v>146</v>
      </c>
      <c r="D71" s="1" t="s">
        <v>195</v>
      </c>
      <c r="E71">
        <v>3</v>
      </c>
    </row>
    <row r="72" spans="1:5" x14ac:dyDescent="0.35">
      <c r="A72" s="1">
        <v>2713</v>
      </c>
      <c r="B72" s="1" t="s">
        <v>196</v>
      </c>
      <c r="C72" s="1" t="s">
        <v>162</v>
      </c>
      <c r="D72" s="1" t="s">
        <v>195</v>
      </c>
      <c r="E72">
        <v>3</v>
      </c>
    </row>
    <row r="73" spans="1:5" x14ac:dyDescent="0.35">
      <c r="A73" s="1">
        <v>2714</v>
      </c>
      <c r="B73" s="1" t="s">
        <v>197</v>
      </c>
      <c r="C73" s="1" t="s">
        <v>21</v>
      </c>
      <c r="D73" s="1">
        <v>0</v>
      </c>
      <c r="E73">
        <v>3</v>
      </c>
    </row>
    <row r="74" spans="1:5" x14ac:dyDescent="0.35">
      <c r="A74" s="1">
        <v>2704</v>
      </c>
      <c r="B74" s="1" t="s">
        <v>198</v>
      </c>
      <c r="C74" s="1" t="s">
        <v>177</v>
      </c>
      <c r="D74" s="1" t="s">
        <v>147</v>
      </c>
      <c r="E74">
        <v>3</v>
      </c>
    </row>
    <row r="75" spans="1:5" x14ac:dyDescent="0.35">
      <c r="A75" s="1">
        <v>0</v>
      </c>
      <c r="B75" s="1">
        <v>0</v>
      </c>
      <c r="C75" s="1" t="s">
        <v>21</v>
      </c>
      <c r="D75" s="1" t="s">
        <v>21</v>
      </c>
    </row>
    <row r="76" spans="1:5" x14ac:dyDescent="0.35">
      <c r="A76" s="1">
        <v>0</v>
      </c>
      <c r="B76" s="1">
        <v>0</v>
      </c>
      <c r="C76" s="1" t="s">
        <v>21</v>
      </c>
      <c r="D76" s="1" t="s">
        <v>21</v>
      </c>
    </row>
    <row r="77" spans="1:5" x14ac:dyDescent="0.35">
      <c r="A77" s="1">
        <v>0</v>
      </c>
      <c r="B77" s="1">
        <v>0</v>
      </c>
      <c r="C77" s="1" t="s">
        <v>21</v>
      </c>
      <c r="D77" s="1" t="s">
        <v>21</v>
      </c>
    </row>
    <row r="78" spans="1:5" x14ac:dyDescent="0.35">
      <c r="A78" s="1">
        <v>0</v>
      </c>
      <c r="B78" s="1">
        <v>0</v>
      </c>
      <c r="C78" s="1" t="s">
        <v>21</v>
      </c>
      <c r="D78" s="1" t="s">
        <v>21</v>
      </c>
    </row>
    <row r="79" spans="1:5" x14ac:dyDescent="0.35">
      <c r="A79" s="1">
        <v>0</v>
      </c>
      <c r="B79" s="1">
        <v>0</v>
      </c>
      <c r="C79" s="1" t="s">
        <v>21</v>
      </c>
      <c r="D79" s="1" t="s">
        <v>21</v>
      </c>
    </row>
    <row r="80" spans="1:5" x14ac:dyDescent="0.35">
      <c r="A80" s="1">
        <v>0</v>
      </c>
      <c r="B80" s="1" t="s">
        <v>199</v>
      </c>
      <c r="C80" s="1" t="s">
        <v>21</v>
      </c>
      <c r="D80" s="1" t="s">
        <v>21</v>
      </c>
    </row>
    <row r="81" spans="1:5" x14ac:dyDescent="0.35">
      <c r="A81" s="1">
        <v>2811</v>
      </c>
      <c r="B81" s="1" t="s">
        <v>200</v>
      </c>
      <c r="C81" s="1" t="s">
        <v>143</v>
      </c>
      <c r="D81" s="1" t="s">
        <v>184</v>
      </c>
      <c r="E81">
        <v>3</v>
      </c>
    </row>
    <row r="82" spans="1:5" x14ac:dyDescent="0.35">
      <c r="A82" s="1">
        <v>2812</v>
      </c>
      <c r="B82" s="1" t="s">
        <v>201</v>
      </c>
      <c r="C82" s="1" t="s">
        <v>21</v>
      </c>
      <c r="D82" s="1">
        <v>0</v>
      </c>
      <c r="E82">
        <v>4</v>
      </c>
    </row>
    <row r="83" spans="1:5" x14ac:dyDescent="0.35">
      <c r="A83" s="1">
        <v>2813</v>
      </c>
      <c r="B83" s="1" t="s">
        <v>202</v>
      </c>
      <c r="C83" s="1" t="s">
        <v>167</v>
      </c>
      <c r="D83" s="1" t="s">
        <v>195</v>
      </c>
      <c r="E83">
        <v>4</v>
      </c>
    </row>
    <row r="84" spans="1:5" x14ac:dyDescent="0.35">
      <c r="A84" s="1">
        <v>2804</v>
      </c>
      <c r="B84" s="1" t="s">
        <v>203</v>
      </c>
      <c r="C84" s="1" t="s">
        <v>204</v>
      </c>
      <c r="D84" s="1" t="s">
        <v>156</v>
      </c>
      <c r="E84">
        <v>4</v>
      </c>
    </row>
    <row r="85" spans="1:5" x14ac:dyDescent="0.35">
      <c r="A85" s="1">
        <v>2815</v>
      </c>
      <c r="B85" s="1" t="s">
        <v>205</v>
      </c>
      <c r="C85" s="1" t="s">
        <v>155</v>
      </c>
      <c r="D85" s="1" t="s">
        <v>195</v>
      </c>
      <c r="E85">
        <v>3</v>
      </c>
    </row>
    <row r="86" spans="1:5" x14ac:dyDescent="0.35">
      <c r="A86" s="1">
        <v>2110</v>
      </c>
      <c r="B86" s="1" t="s">
        <v>206</v>
      </c>
      <c r="C86" s="1" t="s">
        <v>21</v>
      </c>
      <c r="D86" s="1" t="s">
        <v>21</v>
      </c>
    </row>
    <row r="87" spans="1:5" x14ac:dyDescent="0.35">
      <c r="A87" s="1">
        <v>2403</v>
      </c>
      <c r="B87" s="1" t="s">
        <v>207</v>
      </c>
      <c r="C87" s="1" t="s">
        <v>21</v>
      </c>
      <c r="D87" s="1" t="s">
        <v>21</v>
      </c>
    </row>
    <row r="88" spans="1:5" x14ac:dyDescent="0.35">
      <c r="A88" s="1">
        <v>2505</v>
      </c>
      <c r="B88" s="1" t="s">
        <v>208</v>
      </c>
      <c r="C88" s="1" t="s">
        <v>21</v>
      </c>
      <c r="D88" s="1" t="s">
        <v>21</v>
      </c>
    </row>
    <row r="89" spans="1:5" x14ac:dyDescent="0.35">
      <c r="A89" s="1">
        <v>2602</v>
      </c>
      <c r="B89" s="1" t="s">
        <v>209</v>
      </c>
      <c r="C89" s="1" t="s">
        <v>21</v>
      </c>
      <c r="D89" s="1" t="s">
        <v>21</v>
      </c>
    </row>
    <row r="90" spans="1:5" x14ac:dyDescent="0.35">
      <c r="A90" s="1">
        <v>2702</v>
      </c>
      <c r="B90" s="1" t="s">
        <v>210</v>
      </c>
      <c r="C90" s="1" t="s">
        <v>21</v>
      </c>
      <c r="D90" s="1" t="s">
        <v>21</v>
      </c>
    </row>
    <row r="91" spans="1:5" x14ac:dyDescent="0.35">
      <c r="A91" s="1">
        <v>0</v>
      </c>
      <c r="B91" s="1">
        <v>0</v>
      </c>
      <c r="C91" s="1" t="s">
        <v>21</v>
      </c>
      <c r="D91" s="1" t="s">
        <v>21</v>
      </c>
    </row>
    <row r="92" spans="1:5" x14ac:dyDescent="0.35">
      <c r="A92" s="1">
        <v>0</v>
      </c>
      <c r="B92" s="1">
        <v>0</v>
      </c>
      <c r="C92" s="1" t="s">
        <v>21</v>
      </c>
      <c r="D92" s="1" t="s">
        <v>21</v>
      </c>
    </row>
    <row r="93" spans="1:5" x14ac:dyDescent="0.35">
      <c r="A93" s="1">
        <v>0</v>
      </c>
      <c r="B93" s="1">
        <v>0</v>
      </c>
      <c r="C93" s="1" t="s">
        <v>21</v>
      </c>
      <c r="D93" s="1" t="s">
        <v>21</v>
      </c>
    </row>
    <row r="94" spans="1:5" x14ac:dyDescent="0.35">
      <c r="A94" s="2"/>
      <c r="B94" s="1"/>
      <c r="C94" s="1"/>
      <c r="D94" s="1"/>
    </row>
    <row r="95" spans="1:5" x14ac:dyDescent="0.35">
      <c r="A95" s="2"/>
      <c r="B95" s="1"/>
      <c r="C95" s="1"/>
      <c r="D95" s="1"/>
    </row>
    <row r="96" spans="1:5" x14ac:dyDescent="0.35">
      <c r="A96" s="2"/>
      <c r="B96" s="1"/>
      <c r="C96" s="1"/>
      <c r="D96" s="1"/>
    </row>
    <row r="97" spans="1:4" x14ac:dyDescent="0.35">
      <c r="A97" s="2"/>
      <c r="B97" s="1"/>
      <c r="C97" s="1"/>
      <c r="D97" s="1"/>
    </row>
    <row r="98" spans="1:4" x14ac:dyDescent="0.35">
      <c r="A98" s="2"/>
      <c r="B98" s="1"/>
      <c r="C98" s="1"/>
      <c r="D98" s="1"/>
    </row>
    <row r="99" spans="1:4" x14ac:dyDescent="0.35">
      <c r="A99" s="2"/>
      <c r="B99" s="1"/>
      <c r="C99" s="1"/>
      <c r="D99" s="1"/>
    </row>
    <row r="100" spans="1:4" x14ac:dyDescent="0.35">
      <c r="A100" s="2"/>
      <c r="B100" s="1"/>
      <c r="C100" s="1"/>
      <c r="D100" s="1"/>
    </row>
    <row r="101" spans="1:4" x14ac:dyDescent="0.35">
      <c r="A101" s="2"/>
      <c r="B101" s="1"/>
      <c r="C101" s="1"/>
      <c r="D101" s="1"/>
    </row>
    <row r="102" spans="1:4" x14ac:dyDescent="0.35">
      <c r="A102" s="2"/>
      <c r="B102" s="1"/>
      <c r="C102" s="1"/>
      <c r="D102" s="1"/>
    </row>
    <row r="103" spans="1:4" x14ac:dyDescent="0.35">
      <c r="A103" s="2"/>
      <c r="B103" s="1"/>
      <c r="C103" s="1"/>
      <c r="D103" s="1"/>
    </row>
    <row r="104" spans="1:4" x14ac:dyDescent="0.35">
      <c r="A104" s="2"/>
      <c r="B104" s="1"/>
      <c r="C104" s="1"/>
      <c r="D104" s="1"/>
    </row>
    <row r="105" spans="1:4" x14ac:dyDescent="0.35">
      <c r="A105" s="2"/>
      <c r="B105" s="1"/>
      <c r="C105" s="1"/>
      <c r="D105" s="1"/>
    </row>
    <row r="106" spans="1:4" x14ac:dyDescent="0.35">
      <c r="A106" s="2"/>
      <c r="B106" s="1"/>
      <c r="C106" s="1"/>
      <c r="D106" s="1"/>
    </row>
    <row r="107" spans="1:4" x14ac:dyDescent="0.35">
      <c r="A107" s="2"/>
      <c r="B107" s="1"/>
      <c r="C107" s="1"/>
      <c r="D107" s="1"/>
    </row>
    <row r="108" spans="1:4" x14ac:dyDescent="0.35">
      <c r="A108" s="2"/>
      <c r="B108" s="1"/>
      <c r="C108" s="1"/>
      <c r="D108" s="1"/>
    </row>
    <row r="109" spans="1:4" x14ac:dyDescent="0.35">
      <c r="A109" s="2"/>
      <c r="B109" s="1"/>
      <c r="C109" s="1"/>
      <c r="D109" s="1"/>
    </row>
    <row r="110" spans="1:4" x14ac:dyDescent="0.35">
      <c r="A110" s="2"/>
      <c r="B110" s="1"/>
      <c r="C110" s="1"/>
      <c r="D110" s="1"/>
    </row>
    <row r="111" spans="1:4" x14ac:dyDescent="0.35">
      <c r="A111" s="2"/>
      <c r="B111" s="1"/>
      <c r="C111" s="1"/>
      <c r="D111" s="1"/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المواد المسجلة</vt:lpstr>
      <vt:lpstr>السجل الدراسي والنتائج</vt:lpstr>
      <vt:lpstr>بيانات الطلبة</vt:lpstr>
      <vt:lpstr>الجدول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2026-09-22T19:37:56Z</dcterms:modified>
</cp:coreProperties>
</file>